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Academics\R &amp; data analysis\CEI_Project\"/>
    </mc:Choice>
  </mc:AlternateContent>
  <xr:revisionPtr revIDLastSave="0" documentId="8_{4DEEEA6E-371C-4E8E-95F1-8B1996CDEC8E}" xr6:coauthVersionLast="47" xr6:coauthVersionMax="47" xr10:uidLastSave="{00000000-0000-0000-0000-000000000000}"/>
  <bookViews>
    <workbookView xWindow="-98" yWindow="-98" windowWidth="19396" windowHeight="11596" activeTab="1" xr2:uid="{00000000-000D-0000-FFFF-FFFF00000000}"/>
  </bookViews>
  <sheets>
    <sheet name="Input" sheetId="1" r:id="rId1"/>
    <sheet name="Summary" sheetId="2" r:id="rId2"/>
    <sheet name="RawData1" sheetId="4" r:id="rId3"/>
  </sheets>
  <functionGroups builtInGroupCount="19"/>
  <definedNames>
    <definedName name="Filter_Range">Input!$B$4:$O$63</definedName>
    <definedName name="InputStartCell">Input!$B$3</definedName>
    <definedName name="_xlnm.Print_Area" localSheetId="2">RawData1!$A$1:$M$815</definedName>
    <definedName name="Selection_Range">Input!$C$4:$C$63, Input!$E$4:$E$63, Input!$G$4:$G$63, Input!$I$4:$I$63, Input!$K$4:$K$63, Input!$M$4:$M$63, Input!$O$4:$O$63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14" i="4" l="1"/>
  <c r="J814" i="4"/>
  <c r="I814" i="4"/>
  <c r="H814" i="4"/>
  <c r="K813" i="4"/>
  <c r="J813" i="4"/>
  <c r="I813" i="4"/>
  <c r="H813" i="4"/>
  <c r="K812" i="4"/>
  <c r="J812" i="4"/>
  <c r="I812" i="4"/>
  <c r="H812" i="4"/>
  <c r="K811" i="4"/>
  <c r="J811" i="4"/>
  <c r="I811" i="4"/>
  <c r="H811" i="4"/>
  <c r="K810" i="4"/>
  <c r="J810" i="4"/>
  <c r="I810" i="4"/>
  <c r="H810" i="4"/>
  <c r="K809" i="4"/>
  <c r="J809" i="4"/>
  <c r="I809" i="4"/>
  <c r="H809" i="4"/>
  <c r="K808" i="4"/>
  <c r="J808" i="4"/>
  <c r="I808" i="4"/>
  <c r="H808" i="4"/>
  <c r="K807" i="4"/>
  <c r="J807" i="4"/>
  <c r="I807" i="4"/>
  <c r="H807" i="4"/>
  <c r="K806" i="4"/>
  <c r="J806" i="4"/>
  <c r="I806" i="4"/>
  <c r="H806" i="4"/>
  <c r="K805" i="4"/>
  <c r="J805" i="4"/>
  <c r="I805" i="4"/>
  <c r="H805" i="4"/>
  <c r="K804" i="4"/>
  <c r="J804" i="4"/>
  <c r="I804" i="4"/>
  <c r="H804" i="4"/>
  <c r="K803" i="4"/>
  <c r="J803" i="4"/>
  <c r="I803" i="4"/>
  <c r="H803" i="4"/>
  <c r="K802" i="4"/>
  <c r="J802" i="4"/>
  <c r="I802" i="4"/>
  <c r="H802" i="4"/>
  <c r="K801" i="4"/>
  <c r="J801" i="4"/>
  <c r="I801" i="4"/>
  <c r="H801" i="4"/>
  <c r="K800" i="4"/>
  <c r="J800" i="4"/>
  <c r="I800" i="4"/>
  <c r="H800" i="4"/>
  <c r="K799" i="4"/>
  <c r="J799" i="4"/>
  <c r="I799" i="4"/>
  <c r="H799" i="4"/>
  <c r="K798" i="4"/>
  <c r="J798" i="4"/>
  <c r="I798" i="4"/>
  <c r="H798" i="4"/>
  <c r="K797" i="4"/>
  <c r="J797" i="4"/>
  <c r="I797" i="4"/>
  <c r="H797" i="4"/>
  <c r="K796" i="4"/>
  <c r="J796" i="4"/>
  <c r="I796" i="4"/>
  <c r="H796" i="4"/>
  <c r="K795" i="4"/>
  <c r="J795" i="4"/>
  <c r="I795" i="4"/>
  <c r="H795" i="4"/>
  <c r="K794" i="4"/>
  <c r="J794" i="4"/>
  <c r="I794" i="4"/>
  <c r="H794" i="4"/>
  <c r="K793" i="4"/>
  <c r="J793" i="4"/>
  <c r="I793" i="4"/>
  <c r="H793" i="4"/>
  <c r="K792" i="4"/>
  <c r="J792" i="4"/>
  <c r="I792" i="4"/>
  <c r="H792" i="4"/>
  <c r="K791" i="4"/>
  <c r="J791" i="4"/>
  <c r="I791" i="4"/>
  <c r="H791" i="4"/>
  <c r="K790" i="4"/>
  <c r="J790" i="4"/>
  <c r="I790" i="4"/>
  <c r="H790" i="4"/>
  <c r="K789" i="4"/>
  <c r="J789" i="4"/>
  <c r="I789" i="4"/>
  <c r="H789" i="4"/>
  <c r="K788" i="4"/>
  <c r="J788" i="4"/>
  <c r="I788" i="4"/>
  <c r="H788" i="4"/>
  <c r="K787" i="4"/>
  <c r="J787" i="4"/>
  <c r="I787" i="4"/>
  <c r="H787" i="4"/>
  <c r="K786" i="4"/>
  <c r="J786" i="4"/>
  <c r="I786" i="4"/>
  <c r="H786" i="4"/>
  <c r="K784" i="4"/>
  <c r="J784" i="4"/>
  <c r="I784" i="4"/>
  <c r="H784" i="4"/>
  <c r="K783" i="4"/>
  <c r="J783" i="4"/>
  <c r="I783" i="4"/>
  <c r="H783" i="4"/>
  <c r="K782" i="4"/>
  <c r="J782" i="4"/>
  <c r="I782" i="4"/>
  <c r="H782" i="4"/>
  <c r="K781" i="4"/>
  <c r="J781" i="4"/>
  <c r="I781" i="4"/>
  <c r="H781" i="4"/>
  <c r="K780" i="4"/>
  <c r="J780" i="4"/>
  <c r="I780" i="4"/>
  <c r="H780" i="4"/>
  <c r="K779" i="4"/>
  <c r="J779" i="4"/>
  <c r="I779" i="4"/>
  <c r="H779" i="4"/>
  <c r="K778" i="4"/>
  <c r="J778" i="4"/>
  <c r="I778" i="4"/>
  <c r="H778" i="4"/>
  <c r="K777" i="4"/>
  <c r="J777" i="4"/>
  <c r="I777" i="4"/>
  <c r="H777" i="4"/>
  <c r="K776" i="4"/>
  <c r="J776" i="4"/>
  <c r="I776" i="4"/>
  <c r="H776" i="4"/>
  <c r="K775" i="4"/>
  <c r="J775" i="4"/>
  <c r="I775" i="4"/>
  <c r="H775" i="4"/>
  <c r="L772" i="4"/>
  <c r="K772" i="4"/>
  <c r="J772" i="4"/>
  <c r="I772" i="4"/>
  <c r="H772" i="4"/>
  <c r="G772" i="4"/>
  <c r="F772" i="4"/>
  <c r="E772" i="4"/>
  <c r="K771" i="4"/>
  <c r="J771" i="4"/>
  <c r="I771" i="4"/>
  <c r="H771" i="4"/>
  <c r="K770" i="4"/>
  <c r="J770" i="4"/>
  <c r="I770" i="4"/>
  <c r="H770" i="4"/>
  <c r="K769" i="4"/>
  <c r="J769" i="4"/>
  <c r="I769" i="4"/>
  <c r="H769" i="4"/>
  <c r="K768" i="4"/>
  <c r="J768" i="4"/>
  <c r="I768" i="4"/>
  <c r="H768" i="4"/>
  <c r="K767" i="4"/>
  <c r="J767" i="4"/>
  <c r="I767" i="4"/>
  <c r="H767" i="4"/>
  <c r="K766" i="4"/>
  <c r="J766" i="4"/>
  <c r="I766" i="4"/>
  <c r="H766" i="4"/>
  <c r="K765" i="4"/>
  <c r="J765" i="4"/>
  <c r="I765" i="4"/>
  <c r="H765" i="4"/>
  <c r="K764" i="4"/>
  <c r="J764" i="4"/>
  <c r="I764" i="4"/>
  <c r="H764" i="4"/>
  <c r="K763" i="4"/>
  <c r="J763" i="4"/>
  <c r="I763" i="4"/>
  <c r="H763" i="4"/>
  <c r="L760" i="4"/>
  <c r="K760" i="4"/>
  <c r="J760" i="4"/>
  <c r="I760" i="4"/>
  <c r="H760" i="4"/>
  <c r="G760" i="4"/>
  <c r="F760" i="4"/>
  <c r="E760" i="4"/>
  <c r="K759" i="4"/>
  <c r="J759" i="4"/>
  <c r="I759" i="4"/>
  <c r="H759" i="4"/>
  <c r="K758" i="4"/>
  <c r="J758" i="4"/>
  <c r="I758" i="4"/>
  <c r="H758" i="4"/>
  <c r="K757" i="4"/>
  <c r="J757" i="4"/>
  <c r="I757" i="4"/>
  <c r="H757" i="4"/>
  <c r="K756" i="4"/>
  <c r="J756" i="4"/>
  <c r="I756" i="4"/>
  <c r="H756" i="4"/>
  <c r="K755" i="4"/>
  <c r="J755" i="4"/>
  <c r="I755" i="4"/>
  <c r="H755" i="4"/>
  <c r="K754" i="4"/>
  <c r="J754" i="4"/>
  <c r="I754" i="4"/>
  <c r="H754" i="4"/>
  <c r="K753" i="4"/>
  <c r="J753" i="4"/>
  <c r="I753" i="4"/>
  <c r="H753" i="4"/>
  <c r="K752" i="4"/>
  <c r="J752" i="4"/>
  <c r="I752" i="4"/>
  <c r="H752" i="4"/>
  <c r="K751" i="4"/>
  <c r="J751" i="4"/>
  <c r="I751" i="4"/>
  <c r="H751" i="4"/>
  <c r="L748" i="4"/>
  <c r="K748" i="4"/>
  <c r="J748" i="4"/>
  <c r="I748" i="4"/>
  <c r="H748" i="4"/>
  <c r="G748" i="4"/>
  <c r="F748" i="4"/>
  <c r="E748" i="4"/>
  <c r="K747" i="4"/>
  <c r="J747" i="4"/>
  <c r="I747" i="4"/>
  <c r="H747" i="4"/>
  <c r="K746" i="4"/>
  <c r="J746" i="4"/>
  <c r="I746" i="4"/>
  <c r="H746" i="4"/>
  <c r="K745" i="4"/>
  <c r="J745" i="4"/>
  <c r="I745" i="4"/>
  <c r="H745" i="4"/>
  <c r="K744" i="4"/>
  <c r="J744" i="4"/>
  <c r="I744" i="4"/>
  <c r="H744" i="4"/>
  <c r="K743" i="4"/>
  <c r="J743" i="4"/>
  <c r="I743" i="4"/>
  <c r="H743" i="4"/>
  <c r="K742" i="4"/>
  <c r="J742" i="4"/>
  <c r="I742" i="4"/>
  <c r="H742" i="4"/>
  <c r="K741" i="4"/>
  <c r="J741" i="4"/>
  <c r="I741" i="4"/>
  <c r="H741" i="4"/>
  <c r="K740" i="4"/>
  <c r="J740" i="4"/>
  <c r="I740" i="4"/>
  <c r="H740" i="4"/>
  <c r="K739" i="4"/>
  <c r="J739" i="4"/>
  <c r="I739" i="4"/>
  <c r="H739" i="4"/>
  <c r="L736" i="4"/>
  <c r="K736" i="4"/>
  <c r="J736" i="4"/>
  <c r="I736" i="4"/>
  <c r="H736" i="4"/>
  <c r="G736" i="4"/>
  <c r="F736" i="4"/>
  <c r="E736" i="4"/>
  <c r="K735" i="4"/>
  <c r="J735" i="4"/>
  <c r="I735" i="4"/>
  <c r="H735" i="4"/>
  <c r="K734" i="4"/>
  <c r="J734" i="4"/>
  <c r="I734" i="4"/>
  <c r="H734" i="4"/>
  <c r="K733" i="4"/>
  <c r="J733" i="4"/>
  <c r="I733" i="4"/>
  <c r="H733" i="4"/>
  <c r="K732" i="4"/>
  <c r="J732" i="4"/>
  <c r="I732" i="4"/>
  <c r="H732" i="4"/>
  <c r="K731" i="4"/>
  <c r="J731" i="4"/>
  <c r="I731" i="4"/>
  <c r="H731" i="4"/>
  <c r="K730" i="4"/>
  <c r="J730" i="4"/>
  <c r="I730" i="4"/>
  <c r="H730" i="4"/>
  <c r="K729" i="4"/>
  <c r="J729" i="4"/>
  <c r="I729" i="4"/>
  <c r="H729" i="4"/>
  <c r="K728" i="4"/>
  <c r="J728" i="4"/>
  <c r="I728" i="4"/>
  <c r="H728" i="4"/>
  <c r="K727" i="4"/>
  <c r="J727" i="4"/>
  <c r="I727" i="4"/>
  <c r="H727" i="4"/>
  <c r="L724" i="4"/>
  <c r="K724" i="4"/>
  <c r="J724" i="4"/>
  <c r="I724" i="4"/>
  <c r="H724" i="4"/>
  <c r="G724" i="4"/>
  <c r="F724" i="4"/>
  <c r="E724" i="4"/>
  <c r="K723" i="4"/>
  <c r="J723" i="4"/>
  <c r="I723" i="4"/>
  <c r="H723" i="4"/>
  <c r="K722" i="4"/>
  <c r="J722" i="4"/>
  <c r="I722" i="4"/>
  <c r="H722" i="4"/>
  <c r="K721" i="4"/>
  <c r="J721" i="4"/>
  <c r="I721" i="4"/>
  <c r="H721" i="4"/>
  <c r="K720" i="4"/>
  <c r="J720" i="4"/>
  <c r="I720" i="4"/>
  <c r="H720" i="4"/>
  <c r="K719" i="4"/>
  <c r="J719" i="4"/>
  <c r="I719" i="4"/>
  <c r="H719" i="4"/>
  <c r="K718" i="4"/>
  <c r="J718" i="4"/>
  <c r="I718" i="4"/>
  <c r="H718" i="4"/>
  <c r="K717" i="4"/>
  <c r="J717" i="4"/>
  <c r="I717" i="4"/>
  <c r="H717" i="4"/>
  <c r="K716" i="4"/>
  <c r="J716" i="4"/>
  <c r="I716" i="4"/>
  <c r="H716" i="4"/>
  <c r="K715" i="4"/>
  <c r="J715" i="4"/>
  <c r="I715" i="4"/>
  <c r="H715" i="4"/>
  <c r="L712" i="4"/>
  <c r="K712" i="4"/>
  <c r="J712" i="4"/>
  <c r="I712" i="4"/>
  <c r="H712" i="4"/>
  <c r="G712" i="4"/>
  <c r="F712" i="4"/>
  <c r="E712" i="4"/>
  <c r="K711" i="4"/>
  <c r="J711" i="4"/>
  <c r="I711" i="4"/>
  <c r="H711" i="4"/>
  <c r="K710" i="4"/>
  <c r="J710" i="4"/>
  <c r="I710" i="4"/>
  <c r="H710" i="4"/>
  <c r="K709" i="4"/>
  <c r="J709" i="4"/>
  <c r="I709" i="4"/>
  <c r="H709" i="4"/>
  <c r="K708" i="4"/>
  <c r="J708" i="4"/>
  <c r="I708" i="4"/>
  <c r="H708" i="4"/>
  <c r="K707" i="4"/>
  <c r="J707" i="4"/>
  <c r="I707" i="4"/>
  <c r="H707" i="4"/>
  <c r="K706" i="4"/>
  <c r="J706" i="4"/>
  <c r="I706" i="4"/>
  <c r="H706" i="4"/>
  <c r="K705" i="4"/>
  <c r="J705" i="4"/>
  <c r="I705" i="4"/>
  <c r="H705" i="4"/>
  <c r="K704" i="4"/>
  <c r="J704" i="4"/>
  <c r="I704" i="4"/>
  <c r="H704" i="4"/>
  <c r="K703" i="4"/>
  <c r="J703" i="4"/>
  <c r="I703" i="4"/>
  <c r="H703" i="4"/>
  <c r="L700" i="4"/>
  <c r="K700" i="4"/>
  <c r="J700" i="4"/>
  <c r="I700" i="4"/>
  <c r="H700" i="4"/>
  <c r="G700" i="4"/>
  <c r="F700" i="4"/>
  <c r="E700" i="4"/>
  <c r="K699" i="4"/>
  <c r="J699" i="4"/>
  <c r="I699" i="4"/>
  <c r="H699" i="4"/>
  <c r="K698" i="4"/>
  <c r="J698" i="4"/>
  <c r="I698" i="4"/>
  <c r="H698" i="4"/>
  <c r="K697" i="4"/>
  <c r="J697" i="4"/>
  <c r="I697" i="4"/>
  <c r="H697" i="4"/>
  <c r="K696" i="4"/>
  <c r="J696" i="4"/>
  <c r="I696" i="4"/>
  <c r="H696" i="4"/>
  <c r="K695" i="4"/>
  <c r="J695" i="4"/>
  <c r="I695" i="4"/>
  <c r="H695" i="4"/>
  <c r="K694" i="4"/>
  <c r="J694" i="4"/>
  <c r="I694" i="4"/>
  <c r="H694" i="4"/>
  <c r="K693" i="4"/>
  <c r="J693" i="4"/>
  <c r="I693" i="4"/>
  <c r="H693" i="4"/>
  <c r="K692" i="4"/>
  <c r="J692" i="4"/>
  <c r="I692" i="4"/>
  <c r="H692" i="4"/>
  <c r="K691" i="4"/>
  <c r="J691" i="4"/>
  <c r="I691" i="4"/>
  <c r="H691" i="4"/>
  <c r="L688" i="4"/>
  <c r="K688" i="4"/>
  <c r="J688" i="4"/>
  <c r="I688" i="4"/>
  <c r="H688" i="4"/>
  <c r="G688" i="4"/>
  <c r="F688" i="4"/>
  <c r="E688" i="4"/>
  <c r="K687" i="4"/>
  <c r="J687" i="4"/>
  <c r="I687" i="4"/>
  <c r="H687" i="4"/>
  <c r="K686" i="4"/>
  <c r="J686" i="4"/>
  <c r="I686" i="4"/>
  <c r="H686" i="4"/>
  <c r="K685" i="4"/>
  <c r="J685" i="4"/>
  <c r="I685" i="4"/>
  <c r="H685" i="4"/>
  <c r="K684" i="4"/>
  <c r="J684" i="4"/>
  <c r="I684" i="4"/>
  <c r="H684" i="4"/>
  <c r="K683" i="4"/>
  <c r="J683" i="4"/>
  <c r="I683" i="4"/>
  <c r="H683" i="4"/>
  <c r="K682" i="4"/>
  <c r="J682" i="4"/>
  <c r="I682" i="4"/>
  <c r="H682" i="4"/>
  <c r="K681" i="4"/>
  <c r="J681" i="4"/>
  <c r="I681" i="4"/>
  <c r="H681" i="4"/>
  <c r="K680" i="4"/>
  <c r="J680" i="4"/>
  <c r="I680" i="4"/>
  <c r="H680" i="4"/>
  <c r="K679" i="4"/>
  <c r="J679" i="4"/>
  <c r="I679" i="4"/>
  <c r="H679" i="4"/>
  <c r="L676" i="4"/>
  <c r="K676" i="4"/>
  <c r="J676" i="4"/>
  <c r="I676" i="4"/>
  <c r="H676" i="4"/>
  <c r="G676" i="4"/>
  <c r="F676" i="4"/>
  <c r="E676" i="4"/>
  <c r="K675" i="4"/>
  <c r="J675" i="4"/>
  <c r="I675" i="4"/>
  <c r="H675" i="4"/>
  <c r="K674" i="4"/>
  <c r="J674" i="4"/>
  <c r="I674" i="4"/>
  <c r="H674" i="4"/>
  <c r="K673" i="4"/>
  <c r="J673" i="4"/>
  <c r="I673" i="4"/>
  <c r="H673" i="4"/>
  <c r="K672" i="4"/>
  <c r="J672" i="4"/>
  <c r="I672" i="4"/>
  <c r="H672" i="4"/>
  <c r="K671" i="4"/>
  <c r="J671" i="4"/>
  <c r="I671" i="4"/>
  <c r="H671" i="4"/>
  <c r="K670" i="4"/>
  <c r="J670" i="4"/>
  <c r="I670" i="4"/>
  <c r="H670" i="4"/>
  <c r="K669" i="4"/>
  <c r="J669" i="4"/>
  <c r="I669" i="4"/>
  <c r="H669" i="4"/>
  <c r="K668" i="4"/>
  <c r="J668" i="4"/>
  <c r="I668" i="4"/>
  <c r="H668" i="4"/>
  <c r="K667" i="4"/>
  <c r="J667" i="4"/>
  <c r="I667" i="4"/>
  <c r="H667" i="4"/>
  <c r="L664" i="4"/>
  <c r="K664" i="4"/>
  <c r="J664" i="4"/>
  <c r="I664" i="4"/>
  <c r="H664" i="4"/>
  <c r="G664" i="4"/>
  <c r="F664" i="4"/>
  <c r="E664" i="4"/>
  <c r="K663" i="4"/>
  <c r="J663" i="4"/>
  <c r="I663" i="4"/>
  <c r="H663" i="4"/>
  <c r="K662" i="4"/>
  <c r="J662" i="4"/>
  <c r="I662" i="4"/>
  <c r="H662" i="4"/>
  <c r="K661" i="4"/>
  <c r="J661" i="4"/>
  <c r="I661" i="4"/>
  <c r="H661" i="4"/>
  <c r="K660" i="4"/>
  <c r="J660" i="4"/>
  <c r="I660" i="4"/>
  <c r="H660" i="4"/>
  <c r="K659" i="4"/>
  <c r="J659" i="4"/>
  <c r="I659" i="4"/>
  <c r="H659" i="4"/>
  <c r="K658" i="4"/>
  <c r="J658" i="4"/>
  <c r="I658" i="4"/>
  <c r="H658" i="4"/>
  <c r="K657" i="4"/>
  <c r="J657" i="4"/>
  <c r="I657" i="4"/>
  <c r="H657" i="4"/>
  <c r="K656" i="4"/>
  <c r="J656" i="4"/>
  <c r="I656" i="4"/>
  <c r="H656" i="4"/>
  <c r="K655" i="4"/>
  <c r="J655" i="4"/>
  <c r="I655" i="4"/>
  <c r="H655" i="4"/>
  <c r="L652" i="4"/>
  <c r="K652" i="4"/>
  <c r="J652" i="4"/>
  <c r="I652" i="4"/>
  <c r="H652" i="4"/>
  <c r="G652" i="4"/>
  <c r="F652" i="4"/>
  <c r="E652" i="4"/>
  <c r="K651" i="4"/>
  <c r="J651" i="4"/>
  <c r="I651" i="4"/>
  <c r="H651" i="4"/>
  <c r="K650" i="4"/>
  <c r="J650" i="4"/>
  <c r="I650" i="4"/>
  <c r="H650" i="4"/>
  <c r="K649" i="4"/>
  <c r="J649" i="4"/>
  <c r="I649" i="4"/>
  <c r="H649" i="4"/>
  <c r="K648" i="4"/>
  <c r="J648" i="4"/>
  <c r="I648" i="4"/>
  <c r="H648" i="4"/>
  <c r="K647" i="4"/>
  <c r="J647" i="4"/>
  <c r="I647" i="4"/>
  <c r="H647" i="4"/>
  <c r="K646" i="4"/>
  <c r="J646" i="4"/>
  <c r="I646" i="4"/>
  <c r="H646" i="4"/>
  <c r="K645" i="4"/>
  <c r="J645" i="4"/>
  <c r="I645" i="4"/>
  <c r="H645" i="4"/>
  <c r="K644" i="4"/>
  <c r="J644" i="4"/>
  <c r="I644" i="4"/>
  <c r="H644" i="4"/>
  <c r="K643" i="4"/>
  <c r="J643" i="4"/>
  <c r="I643" i="4"/>
  <c r="H643" i="4"/>
  <c r="L640" i="4"/>
  <c r="K640" i="4"/>
  <c r="J640" i="4"/>
  <c r="I640" i="4"/>
  <c r="H640" i="4"/>
  <c r="G640" i="4"/>
  <c r="F640" i="4"/>
  <c r="E640" i="4"/>
  <c r="K639" i="4"/>
  <c r="J639" i="4"/>
  <c r="I639" i="4"/>
  <c r="H639" i="4"/>
  <c r="K638" i="4"/>
  <c r="J638" i="4"/>
  <c r="I638" i="4"/>
  <c r="H638" i="4"/>
  <c r="K637" i="4"/>
  <c r="J637" i="4"/>
  <c r="I637" i="4"/>
  <c r="H637" i="4"/>
  <c r="K636" i="4"/>
  <c r="J636" i="4"/>
  <c r="I636" i="4"/>
  <c r="H636" i="4"/>
  <c r="K635" i="4"/>
  <c r="J635" i="4"/>
  <c r="I635" i="4"/>
  <c r="H635" i="4"/>
  <c r="K634" i="4"/>
  <c r="J634" i="4"/>
  <c r="I634" i="4"/>
  <c r="H634" i="4"/>
  <c r="K633" i="4"/>
  <c r="J633" i="4"/>
  <c r="I633" i="4"/>
  <c r="H633" i="4"/>
  <c r="K632" i="4"/>
  <c r="J632" i="4"/>
  <c r="I632" i="4"/>
  <c r="H632" i="4"/>
  <c r="K631" i="4"/>
  <c r="J631" i="4"/>
  <c r="I631" i="4"/>
  <c r="H631" i="4"/>
  <c r="L628" i="4"/>
  <c r="K628" i="4"/>
  <c r="J628" i="4"/>
  <c r="I628" i="4"/>
  <c r="H628" i="4"/>
  <c r="G628" i="4"/>
  <c r="F628" i="4"/>
  <c r="E628" i="4"/>
  <c r="K627" i="4"/>
  <c r="J627" i="4"/>
  <c r="I627" i="4"/>
  <c r="H627" i="4"/>
  <c r="K626" i="4"/>
  <c r="J626" i="4"/>
  <c r="I626" i="4"/>
  <c r="H626" i="4"/>
  <c r="K625" i="4"/>
  <c r="J625" i="4"/>
  <c r="I625" i="4"/>
  <c r="H625" i="4"/>
  <c r="K624" i="4"/>
  <c r="J624" i="4"/>
  <c r="I624" i="4"/>
  <c r="H624" i="4"/>
  <c r="K622" i="4"/>
  <c r="J622" i="4"/>
  <c r="I622" i="4"/>
  <c r="H622" i="4"/>
  <c r="K621" i="4"/>
  <c r="J621" i="4"/>
  <c r="I621" i="4"/>
  <c r="H621" i="4"/>
  <c r="K620" i="4"/>
  <c r="J620" i="4"/>
  <c r="I620" i="4"/>
  <c r="H620" i="4"/>
  <c r="K619" i="4"/>
  <c r="J619" i="4"/>
  <c r="I619" i="4"/>
  <c r="H619" i="4"/>
  <c r="L616" i="4"/>
  <c r="K616" i="4"/>
  <c r="J616" i="4"/>
  <c r="I616" i="4"/>
  <c r="H616" i="4"/>
  <c r="G616" i="4"/>
  <c r="F616" i="4"/>
  <c r="E616" i="4"/>
  <c r="K615" i="4"/>
  <c r="J615" i="4"/>
  <c r="I615" i="4"/>
  <c r="H615" i="4"/>
  <c r="K614" i="4"/>
  <c r="J614" i="4"/>
  <c r="I614" i="4"/>
  <c r="H614" i="4"/>
  <c r="K613" i="4"/>
  <c r="J613" i="4"/>
  <c r="I613" i="4"/>
  <c r="H613" i="4"/>
  <c r="K612" i="4"/>
  <c r="J612" i="4"/>
  <c r="I612" i="4"/>
  <c r="H612" i="4"/>
  <c r="K611" i="4"/>
  <c r="J611" i="4"/>
  <c r="I611" i="4"/>
  <c r="H611" i="4"/>
  <c r="K610" i="4"/>
  <c r="J610" i="4"/>
  <c r="I610" i="4"/>
  <c r="H610" i="4"/>
  <c r="K609" i="4"/>
  <c r="J609" i="4"/>
  <c r="I609" i="4"/>
  <c r="H609" i="4"/>
  <c r="K608" i="4"/>
  <c r="J608" i="4"/>
  <c r="I608" i="4"/>
  <c r="H608" i="4"/>
  <c r="K607" i="4"/>
  <c r="J607" i="4"/>
  <c r="I607" i="4"/>
  <c r="H607" i="4"/>
  <c r="L604" i="4"/>
  <c r="K604" i="4"/>
  <c r="J604" i="4"/>
  <c r="I604" i="4"/>
  <c r="H604" i="4"/>
  <c r="G604" i="4"/>
  <c r="F604" i="4"/>
  <c r="E604" i="4"/>
  <c r="K603" i="4"/>
  <c r="J603" i="4"/>
  <c r="I603" i="4"/>
  <c r="H603" i="4"/>
  <c r="K602" i="4"/>
  <c r="J602" i="4"/>
  <c r="I602" i="4"/>
  <c r="H602" i="4"/>
  <c r="K601" i="4"/>
  <c r="J601" i="4"/>
  <c r="I601" i="4"/>
  <c r="H601" i="4"/>
  <c r="K600" i="4"/>
  <c r="J600" i="4"/>
  <c r="I600" i="4"/>
  <c r="H600" i="4"/>
  <c r="K599" i="4"/>
  <c r="J599" i="4"/>
  <c r="I599" i="4"/>
  <c r="H599" i="4"/>
  <c r="K598" i="4"/>
  <c r="J598" i="4"/>
  <c r="I598" i="4"/>
  <c r="H598" i="4"/>
  <c r="K597" i="4"/>
  <c r="J597" i="4"/>
  <c r="I597" i="4"/>
  <c r="H597" i="4"/>
  <c r="K596" i="4"/>
  <c r="J596" i="4"/>
  <c r="I596" i="4"/>
  <c r="H596" i="4"/>
  <c r="K595" i="4"/>
  <c r="J595" i="4"/>
  <c r="I595" i="4"/>
  <c r="H595" i="4"/>
  <c r="L592" i="4"/>
  <c r="K592" i="4"/>
  <c r="J592" i="4"/>
  <c r="I592" i="4"/>
  <c r="H592" i="4"/>
  <c r="G592" i="4"/>
  <c r="F592" i="4"/>
  <c r="E592" i="4"/>
  <c r="K591" i="4"/>
  <c r="J591" i="4"/>
  <c r="I591" i="4"/>
  <c r="H591" i="4"/>
  <c r="K590" i="4"/>
  <c r="J590" i="4"/>
  <c r="I590" i="4"/>
  <c r="H590" i="4"/>
  <c r="K589" i="4"/>
  <c r="J589" i="4"/>
  <c r="I589" i="4"/>
  <c r="H589" i="4"/>
  <c r="K588" i="4"/>
  <c r="J588" i="4"/>
  <c r="I588" i="4"/>
  <c r="H588" i="4"/>
  <c r="K587" i="4"/>
  <c r="J587" i="4"/>
  <c r="I587" i="4"/>
  <c r="H587" i="4"/>
  <c r="K586" i="4"/>
  <c r="J586" i="4"/>
  <c r="I586" i="4"/>
  <c r="H586" i="4"/>
  <c r="K585" i="4"/>
  <c r="J585" i="4"/>
  <c r="I585" i="4"/>
  <c r="H585" i="4"/>
  <c r="K584" i="4"/>
  <c r="J584" i="4"/>
  <c r="I584" i="4"/>
  <c r="H584" i="4"/>
  <c r="K583" i="4"/>
  <c r="J583" i="4"/>
  <c r="I583" i="4"/>
  <c r="H583" i="4"/>
  <c r="L580" i="4"/>
  <c r="K580" i="4"/>
  <c r="J580" i="4"/>
  <c r="I580" i="4"/>
  <c r="H580" i="4"/>
  <c r="G580" i="4"/>
  <c r="F580" i="4"/>
  <c r="E580" i="4"/>
  <c r="K579" i="4"/>
  <c r="J579" i="4"/>
  <c r="I579" i="4"/>
  <c r="H579" i="4"/>
  <c r="K578" i="4"/>
  <c r="J578" i="4"/>
  <c r="I578" i="4"/>
  <c r="H578" i="4"/>
  <c r="K577" i="4"/>
  <c r="J577" i="4"/>
  <c r="I577" i="4"/>
  <c r="H577" i="4"/>
  <c r="K576" i="4"/>
  <c r="J576" i="4"/>
  <c r="I576" i="4"/>
  <c r="H576" i="4"/>
  <c r="K575" i="4"/>
  <c r="J575" i="4"/>
  <c r="I575" i="4"/>
  <c r="H575" i="4"/>
  <c r="K574" i="4"/>
  <c r="J574" i="4"/>
  <c r="I574" i="4"/>
  <c r="H574" i="4"/>
  <c r="K573" i="4"/>
  <c r="J573" i="4"/>
  <c r="I573" i="4"/>
  <c r="H573" i="4"/>
  <c r="K572" i="4"/>
  <c r="J572" i="4"/>
  <c r="I572" i="4"/>
  <c r="H572" i="4"/>
  <c r="K571" i="4"/>
  <c r="J571" i="4"/>
  <c r="I571" i="4"/>
  <c r="H571" i="4"/>
  <c r="L568" i="4"/>
  <c r="K568" i="4"/>
  <c r="J568" i="4"/>
  <c r="I568" i="4"/>
  <c r="H568" i="4"/>
  <c r="G568" i="4"/>
  <c r="F568" i="4"/>
  <c r="E568" i="4"/>
  <c r="K567" i="4"/>
  <c r="J567" i="4"/>
  <c r="I567" i="4"/>
  <c r="H567" i="4"/>
  <c r="K566" i="4"/>
  <c r="J566" i="4"/>
  <c r="I566" i="4"/>
  <c r="H566" i="4"/>
  <c r="K565" i="4"/>
  <c r="J565" i="4"/>
  <c r="I565" i="4"/>
  <c r="H565" i="4"/>
  <c r="K564" i="4"/>
  <c r="J564" i="4"/>
  <c r="I564" i="4"/>
  <c r="H564" i="4"/>
  <c r="K563" i="4"/>
  <c r="J563" i="4"/>
  <c r="I563" i="4"/>
  <c r="H563" i="4"/>
  <c r="K562" i="4"/>
  <c r="J562" i="4"/>
  <c r="I562" i="4"/>
  <c r="H562" i="4"/>
  <c r="K561" i="4"/>
  <c r="J561" i="4"/>
  <c r="I561" i="4"/>
  <c r="H561" i="4"/>
  <c r="K560" i="4"/>
  <c r="J560" i="4"/>
  <c r="I560" i="4"/>
  <c r="H560" i="4"/>
  <c r="K559" i="4"/>
  <c r="J559" i="4"/>
  <c r="I559" i="4"/>
  <c r="H559" i="4"/>
  <c r="L556" i="4"/>
  <c r="K556" i="4"/>
  <c r="J556" i="4"/>
  <c r="I556" i="4"/>
  <c r="H556" i="4"/>
  <c r="G556" i="4"/>
  <c r="F556" i="4"/>
  <c r="E556" i="4"/>
  <c r="K555" i="4"/>
  <c r="J555" i="4"/>
  <c r="I555" i="4"/>
  <c r="H555" i="4"/>
  <c r="K554" i="4"/>
  <c r="J554" i="4"/>
  <c r="I554" i="4"/>
  <c r="H554" i="4"/>
  <c r="K553" i="4"/>
  <c r="J553" i="4"/>
  <c r="I553" i="4"/>
  <c r="H553" i="4"/>
  <c r="K552" i="4"/>
  <c r="J552" i="4"/>
  <c r="I552" i="4"/>
  <c r="H552" i="4"/>
  <c r="K551" i="4"/>
  <c r="J551" i="4"/>
  <c r="I551" i="4"/>
  <c r="H551" i="4"/>
  <c r="K550" i="4"/>
  <c r="J550" i="4"/>
  <c r="I550" i="4"/>
  <c r="H550" i="4"/>
  <c r="K549" i="4"/>
  <c r="J549" i="4"/>
  <c r="I549" i="4"/>
  <c r="H549" i="4"/>
  <c r="K548" i="4"/>
  <c r="J548" i="4"/>
  <c r="I548" i="4"/>
  <c r="H548" i="4"/>
  <c r="K547" i="4"/>
  <c r="J547" i="4"/>
  <c r="I547" i="4"/>
  <c r="H547" i="4"/>
  <c r="L544" i="4"/>
  <c r="K544" i="4"/>
  <c r="J544" i="4"/>
  <c r="I544" i="4"/>
  <c r="H544" i="4"/>
  <c r="G544" i="4"/>
  <c r="F544" i="4"/>
  <c r="E544" i="4"/>
  <c r="K543" i="4"/>
  <c r="J543" i="4"/>
  <c r="I543" i="4"/>
  <c r="H543" i="4"/>
  <c r="K542" i="4"/>
  <c r="J542" i="4"/>
  <c r="I542" i="4"/>
  <c r="H542" i="4"/>
  <c r="K541" i="4"/>
  <c r="J541" i="4"/>
  <c r="I541" i="4"/>
  <c r="H541" i="4"/>
  <c r="K540" i="4"/>
  <c r="J540" i="4"/>
  <c r="I540" i="4"/>
  <c r="H540" i="4"/>
  <c r="K539" i="4"/>
  <c r="J539" i="4"/>
  <c r="I539" i="4"/>
  <c r="H539" i="4"/>
  <c r="K538" i="4"/>
  <c r="J538" i="4"/>
  <c r="I538" i="4"/>
  <c r="H538" i="4"/>
  <c r="K537" i="4"/>
  <c r="J537" i="4"/>
  <c r="I537" i="4"/>
  <c r="H537" i="4"/>
  <c r="K536" i="4"/>
  <c r="J536" i="4"/>
  <c r="I536" i="4"/>
  <c r="H536" i="4"/>
  <c r="K535" i="4"/>
  <c r="J535" i="4"/>
  <c r="I535" i="4"/>
  <c r="H535" i="4"/>
  <c r="L532" i="4"/>
  <c r="K532" i="4"/>
  <c r="J532" i="4"/>
  <c r="I532" i="4"/>
  <c r="H532" i="4"/>
  <c r="G532" i="4"/>
  <c r="F532" i="4"/>
  <c r="E532" i="4"/>
  <c r="K531" i="4"/>
  <c r="J531" i="4"/>
  <c r="I531" i="4"/>
  <c r="H531" i="4"/>
  <c r="K530" i="4"/>
  <c r="J530" i="4"/>
  <c r="I530" i="4"/>
  <c r="H530" i="4"/>
  <c r="K529" i="4"/>
  <c r="J529" i="4"/>
  <c r="I529" i="4"/>
  <c r="H529" i="4"/>
  <c r="K528" i="4"/>
  <c r="J528" i="4"/>
  <c r="I528" i="4"/>
  <c r="H528" i="4"/>
  <c r="K527" i="4"/>
  <c r="J527" i="4"/>
  <c r="I527" i="4"/>
  <c r="H527" i="4"/>
  <c r="K526" i="4"/>
  <c r="J526" i="4"/>
  <c r="I526" i="4"/>
  <c r="H526" i="4"/>
  <c r="K525" i="4"/>
  <c r="J525" i="4"/>
  <c r="I525" i="4"/>
  <c r="H525" i="4"/>
  <c r="K524" i="4"/>
  <c r="J524" i="4"/>
  <c r="I524" i="4"/>
  <c r="H524" i="4"/>
  <c r="K523" i="4"/>
  <c r="J523" i="4"/>
  <c r="I523" i="4"/>
  <c r="H523" i="4"/>
  <c r="L520" i="4"/>
  <c r="K520" i="4"/>
  <c r="J520" i="4"/>
  <c r="I520" i="4"/>
  <c r="H520" i="4"/>
  <c r="G520" i="4"/>
  <c r="F520" i="4"/>
  <c r="E520" i="4"/>
  <c r="K519" i="4"/>
  <c r="J519" i="4"/>
  <c r="I519" i="4"/>
  <c r="H519" i="4"/>
  <c r="K518" i="4"/>
  <c r="J518" i="4"/>
  <c r="I518" i="4"/>
  <c r="H518" i="4"/>
  <c r="K517" i="4"/>
  <c r="J517" i="4"/>
  <c r="I517" i="4"/>
  <c r="H517" i="4"/>
  <c r="K516" i="4"/>
  <c r="J516" i="4"/>
  <c r="I516" i="4"/>
  <c r="H516" i="4"/>
  <c r="K515" i="4"/>
  <c r="J515" i="4"/>
  <c r="I515" i="4"/>
  <c r="H515" i="4"/>
  <c r="K514" i="4"/>
  <c r="J514" i="4"/>
  <c r="I514" i="4"/>
  <c r="H514" i="4"/>
  <c r="K513" i="4"/>
  <c r="J513" i="4"/>
  <c r="I513" i="4"/>
  <c r="H513" i="4"/>
  <c r="K512" i="4"/>
  <c r="J512" i="4"/>
  <c r="I512" i="4"/>
  <c r="H512" i="4"/>
  <c r="K511" i="4"/>
  <c r="J511" i="4"/>
  <c r="I511" i="4"/>
  <c r="H511" i="4"/>
  <c r="L508" i="4"/>
  <c r="K508" i="4"/>
  <c r="J508" i="4"/>
  <c r="I508" i="4"/>
  <c r="H508" i="4"/>
  <c r="G508" i="4"/>
  <c r="F508" i="4"/>
  <c r="E508" i="4"/>
  <c r="K507" i="4"/>
  <c r="J507" i="4"/>
  <c r="I507" i="4"/>
  <c r="H507" i="4"/>
  <c r="K506" i="4"/>
  <c r="J506" i="4"/>
  <c r="I506" i="4"/>
  <c r="H506" i="4"/>
  <c r="K505" i="4"/>
  <c r="J505" i="4"/>
  <c r="I505" i="4"/>
  <c r="H505" i="4"/>
  <c r="K504" i="4"/>
  <c r="J504" i="4"/>
  <c r="I504" i="4"/>
  <c r="H504" i="4"/>
  <c r="K503" i="4"/>
  <c r="J503" i="4"/>
  <c r="I503" i="4"/>
  <c r="H503" i="4"/>
  <c r="K502" i="4"/>
  <c r="J502" i="4"/>
  <c r="I502" i="4"/>
  <c r="H502" i="4"/>
  <c r="K501" i="4"/>
  <c r="J501" i="4"/>
  <c r="I501" i="4"/>
  <c r="H501" i="4"/>
  <c r="K500" i="4"/>
  <c r="J500" i="4"/>
  <c r="I500" i="4"/>
  <c r="H500" i="4"/>
  <c r="K499" i="4"/>
  <c r="J499" i="4"/>
  <c r="I499" i="4"/>
  <c r="H499" i="4"/>
  <c r="L496" i="4"/>
  <c r="K496" i="4"/>
  <c r="J496" i="4"/>
  <c r="I496" i="4"/>
  <c r="H496" i="4"/>
  <c r="G496" i="4"/>
  <c r="F496" i="4"/>
  <c r="E496" i="4"/>
  <c r="K495" i="4"/>
  <c r="J495" i="4"/>
  <c r="I495" i="4"/>
  <c r="H495" i="4"/>
  <c r="K494" i="4"/>
  <c r="J494" i="4"/>
  <c r="I494" i="4"/>
  <c r="H494" i="4"/>
  <c r="L491" i="4"/>
  <c r="K491" i="4"/>
  <c r="J491" i="4"/>
  <c r="I491" i="4"/>
  <c r="H491" i="4"/>
  <c r="G491" i="4"/>
  <c r="F491" i="4"/>
  <c r="E491" i="4"/>
  <c r="K490" i="4"/>
  <c r="J490" i="4"/>
  <c r="I490" i="4"/>
  <c r="H490" i="4"/>
  <c r="K489" i="4"/>
  <c r="J489" i="4"/>
  <c r="I489" i="4"/>
  <c r="H489" i="4"/>
  <c r="K488" i="4"/>
  <c r="J488" i="4"/>
  <c r="I488" i="4"/>
  <c r="H488" i="4"/>
  <c r="K487" i="4"/>
  <c r="J487" i="4"/>
  <c r="I487" i="4"/>
  <c r="H487" i="4"/>
  <c r="K486" i="4"/>
  <c r="J486" i="4"/>
  <c r="I486" i="4"/>
  <c r="H486" i="4"/>
  <c r="K485" i="4"/>
  <c r="J485" i="4"/>
  <c r="I485" i="4"/>
  <c r="H485" i="4"/>
  <c r="K484" i="4"/>
  <c r="J484" i="4"/>
  <c r="I484" i="4"/>
  <c r="H484" i="4"/>
  <c r="K483" i="4"/>
  <c r="J483" i="4"/>
  <c r="I483" i="4"/>
  <c r="H483" i="4"/>
  <c r="K482" i="4"/>
  <c r="J482" i="4"/>
  <c r="I482" i="4"/>
  <c r="H482" i="4"/>
  <c r="L479" i="4"/>
  <c r="K479" i="4"/>
  <c r="J479" i="4"/>
  <c r="I479" i="4"/>
  <c r="H479" i="4"/>
  <c r="G479" i="4"/>
  <c r="F479" i="4"/>
  <c r="E479" i="4"/>
  <c r="K478" i="4"/>
  <c r="J478" i="4"/>
  <c r="I478" i="4"/>
  <c r="H478" i="4"/>
  <c r="K477" i="4"/>
  <c r="J477" i="4"/>
  <c r="I477" i="4"/>
  <c r="H477" i="4"/>
  <c r="K476" i="4"/>
  <c r="J476" i="4"/>
  <c r="I476" i="4"/>
  <c r="H476" i="4"/>
  <c r="K475" i="4"/>
  <c r="J475" i="4"/>
  <c r="I475" i="4"/>
  <c r="H475" i="4"/>
  <c r="K474" i="4"/>
  <c r="J474" i="4"/>
  <c r="I474" i="4"/>
  <c r="H474" i="4"/>
  <c r="K473" i="4"/>
  <c r="J473" i="4"/>
  <c r="I473" i="4"/>
  <c r="H473" i="4"/>
  <c r="K472" i="4"/>
  <c r="J472" i="4"/>
  <c r="I472" i="4"/>
  <c r="H472" i="4"/>
  <c r="K471" i="4"/>
  <c r="J471" i="4"/>
  <c r="I471" i="4"/>
  <c r="H471" i="4"/>
  <c r="K470" i="4"/>
  <c r="J470" i="4"/>
  <c r="I470" i="4"/>
  <c r="H470" i="4"/>
  <c r="L467" i="4"/>
  <c r="K467" i="4"/>
  <c r="J467" i="4"/>
  <c r="I467" i="4"/>
  <c r="H467" i="4"/>
  <c r="G467" i="4"/>
  <c r="F467" i="4"/>
  <c r="E467" i="4"/>
  <c r="K466" i="4"/>
  <c r="J466" i="4"/>
  <c r="I466" i="4"/>
  <c r="H466" i="4"/>
  <c r="K465" i="4"/>
  <c r="J465" i="4"/>
  <c r="I465" i="4"/>
  <c r="H465" i="4"/>
  <c r="K464" i="4"/>
  <c r="J464" i="4"/>
  <c r="I464" i="4"/>
  <c r="H464" i="4"/>
  <c r="K463" i="4"/>
  <c r="J463" i="4"/>
  <c r="I463" i="4"/>
  <c r="H463" i="4"/>
  <c r="K462" i="4"/>
  <c r="J462" i="4"/>
  <c r="I462" i="4"/>
  <c r="H462" i="4"/>
  <c r="K461" i="4"/>
  <c r="J461" i="4"/>
  <c r="I461" i="4"/>
  <c r="H461" i="4"/>
  <c r="K460" i="4"/>
  <c r="J460" i="4"/>
  <c r="I460" i="4"/>
  <c r="H460" i="4"/>
  <c r="K459" i="4"/>
  <c r="J459" i="4"/>
  <c r="I459" i="4"/>
  <c r="H459" i="4"/>
  <c r="K458" i="4"/>
  <c r="J458" i="4"/>
  <c r="I458" i="4"/>
  <c r="H458" i="4"/>
  <c r="L455" i="4"/>
  <c r="K455" i="4"/>
  <c r="J455" i="4"/>
  <c r="I455" i="4"/>
  <c r="H455" i="4"/>
  <c r="G455" i="4"/>
  <c r="F455" i="4"/>
  <c r="E455" i="4"/>
  <c r="K454" i="4"/>
  <c r="J454" i="4"/>
  <c r="I454" i="4"/>
  <c r="H454" i="4"/>
  <c r="K453" i="4"/>
  <c r="J453" i="4"/>
  <c r="I453" i="4"/>
  <c r="H453" i="4"/>
  <c r="K452" i="4"/>
  <c r="J452" i="4"/>
  <c r="I452" i="4"/>
  <c r="H452" i="4"/>
  <c r="K451" i="4"/>
  <c r="J451" i="4"/>
  <c r="I451" i="4"/>
  <c r="H451" i="4"/>
  <c r="K450" i="4"/>
  <c r="J450" i="4"/>
  <c r="I450" i="4"/>
  <c r="H450" i="4"/>
  <c r="K449" i="4"/>
  <c r="J449" i="4"/>
  <c r="I449" i="4"/>
  <c r="H449" i="4"/>
  <c r="K448" i="4"/>
  <c r="J448" i="4"/>
  <c r="I448" i="4"/>
  <c r="H448" i="4"/>
  <c r="K447" i="4"/>
  <c r="J447" i="4"/>
  <c r="I447" i="4"/>
  <c r="H447" i="4"/>
  <c r="K446" i="4"/>
  <c r="J446" i="4"/>
  <c r="I446" i="4"/>
  <c r="H446" i="4"/>
  <c r="L443" i="4"/>
  <c r="K443" i="4"/>
  <c r="J443" i="4"/>
  <c r="I443" i="4"/>
  <c r="H443" i="4"/>
  <c r="G443" i="4"/>
  <c r="F443" i="4"/>
  <c r="E443" i="4"/>
  <c r="K442" i="4"/>
  <c r="J442" i="4"/>
  <c r="I442" i="4"/>
  <c r="H442" i="4"/>
  <c r="K441" i="4"/>
  <c r="J441" i="4"/>
  <c r="I441" i="4"/>
  <c r="H441" i="4"/>
  <c r="K440" i="4"/>
  <c r="J440" i="4"/>
  <c r="I440" i="4"/>
  <c r="H440" i="4"/>
  <c r="K439" i="4"/>
  <c r="J439" i="4"/>
  <c r="I439" i="4"/>
  <c r="H439" i="4"/>
  <c r="K438" i="4"/>
  <c r="J438" i="4"/>
  <c r="I438" i="4"/>
  <c r="H438" i="4"/>
  <c r="K437" i="4"/>
  <c r="J437" i="4"/>
  <c r="I437" i="4"/>
  <c r="H437" i="4"/>
  <c r="K436" i="4"/>
  <c r="J436" i="4"/>
  <c r="I436" i="4"/>
  <c r="H436" i="4"/>
  <c r="K435" i="4"/>
  <c r="J435" i="4"/>
  <c r="I435" i="4"/>
  <c r="H435" i="4"/>
  <c r="K434" i="4"/>
  <c r="J434" i="4"/>
  <c r="I434" i="4"/>
  <c r="H434" i="4"/>
  <c r="L431" i="4"/>
  <c r="K431" i="4"/>
  <c r="J431" i="4"/>
  <c r="I431" i="4"/>
  <c r="H431" i="4"/>
  <c r="G431" i="4"/>
  <c r="F431" i="4"/>
  <c r="E431" i="4"/>
  <c r="K430" i="4"/>
  <c r="J430" i="4"/>
  <c r="I430" i="4"/>
  <c r="H430" i="4"/>
  <c r="K429" i="4"/>
  <c r="J429" i="4"/>
  <c r="I429" i="4"/>
  <c r="H429" i="4"/>
  <c r="K428" i="4"/>
  <c r="J428" i="4"/>
  <c r="I428" i="4"/>
  <c r="H428" i="4"/>
  <c r="K427" i="4"/>
  <c r="J427" i="4"/>
  <c r="I427" i="4"/>
  <c r="H427" i="4"/>
  <c r="K426" i="4"/>
  <c r="J426" i="4"/>
  <c r="I426" i="4"/>
  <c r="H426" i="4"/>
  <c r="K425" i="4"/>
  <c r="J425" i="4"/>
  <c r="I425" i="4"/>
  <c r="H425" i="4"/>
  <c r="K424" i="4"/>
  <c r="J424" i="4"/>
  <c r="I424" i="4"/>
  <c r="H424" i="4"/>
  <c r="K423" i="4"/>
  <c r="J423" i="4"/>
  <c r="I423" i="4"/>
  <c r="H423" i="4"/>
  <c r="K422" i="4"/>
  <c r="J422" i="4"/>
  <c r="I422" i="4"/>
  <c r="H422" i="4"/>
  <c r="L419" i="4"/>
  <c r="K419" i="4"/>
  <c r="J419" i="4"/>
  <c r="I419" i="4"/>
  <c r="H419" i="4"/>
  <c r="G419" i="4"/>
  <c r="F419" i="4"/>
  <c r="E419" i="4"/>
  <c r="K418" i="4"/>
  <c r="J418" i="4"/>
  <c r="I418" i="4"/>
  <c r="H418" i="4"/>
  <c r="K417" i="4"/>
  <c r="J417" i="4"/>
  <c r="I417" i="4"/>
  <c r="H417" i="4"/>
  <c r="K416" i="4"/>
  <c r="J416" i="4"/>
  <c r="I416" i="4"/>
  <c r="H416" i="4"/>
  <c r="K415" i="4"/>
  <c r="J415" i="4"/>
  <c r="I415" i="4"/>
  <c r="H415" i="4"/>
  <c r="K414" i="4"/>
  <c r="J414" i="4"/>
  <c r="I414" i="4"/>
  <c r="H414" i="4"/>
  <c r="K413" i="4"/>
  <c r="J413" i="4"/>
  <c r="I413" i="4"/>
  <c r="H413" i="4"/>
  <c r="K412" i="4"/>
  <c r="J412" i="4"/>
  <c r="I412" i="4"/>
  <c r="H412" i="4"/>
  <c r="K411" i="4"/>
  <c r="J411" i="4"/>
  <c r="I411" i="4"/>
  <c r="H411" i="4"/>
  <c r="K410" i="4"/>
  <c r="J410" i="4"/>
  <c r="I410" i="4"/>
  <c r="H410" i="4"/>
  <c r="L407" i="4"/>
  <c r="K407" i="4"/>
  <c r="J407" i="4"/>
  <c r="I407" i="4"/>
  <c r="H407" i="4"/>
  <c r="G407" i="4"/>
  <c r="F407" i="4"/>
  <c r="E407" i="4"/>
  <c r="K405" i="4"/>
  <c r="J405" i="4"/>
  <c r="I405" i="4"/>
  <c r="H405" i="4"/>
  <c r="K404" i="4"/>
  <c r="J404" i="4"/>
  <c r="I404" i="4"/>
  <c r="H404" i="4"/>
  <c r="K403" i="4"/>
  <c r="J403" i="4"/>
  <c r="I403" i="4"/>
  <c r="H403" i="4"/>
  <c r="K402" i="4"/>
  <c r="J402" i="4"/>
  <c r="I402" i="4"/>
  <c r="H402" i="4"/>
  <c r="K401" i="4"/>
  <c r="J401" i="4"/>
  <c r="I401" i="4"/>
  <c r="H401" i="4"/>
  <c r="L398" i="4"/>
  <c r="K398" i="4"/>
  <c r="J398" i="4"/>
  <c r="I398" i="4"/>
  <c r="H398" i="4"/>
  <c r="G398" i="4"/>
  <c r="F398" i="4"/>
  <c r="E398" i="4"/>
  <c r="K397" i="4"/>
  <c r="J397" i="4"/>
  <c r="I397" i="4"/>
  <c r="H397" i="4"/>
  <c r="K396" i="4"/>
  <c r="J396" i="4"/>
  <c r="I396" i="4"/>
  <c r="H396" i="4"/>
  <c r="K395" i="4"/>
  <c r="J395" i="4"/>
  <c r="I395" i="4"/>
  <c r="H395" i="4"/>
  <c r="K394" i="4"/>
  <c r="J394" i="4"/>
  <c r="I394" i="4"/>
  <c r="H394" i="4"/>
  <c r="K393" i="4"/>
  <c r="J393" i="4"/>
  <c r="I393" i="4"/>
  <c r="H393" i="4"/>
  <c r="K392" i="4"/>
  <c r="J392" i="4"/>
  <c r="I392" i="4"/>
  <c r="H392" i="4"/>
  <c r="K391" i="4"/>
  <c r="J391" i="4"/>
  <c r="I391" i="4"/>
  <c r="H391" i="4"/>
  <c r="K390" i="4"/>
  <c r="J390" i="4"/>
  <c r="I390" i="4"/>
  <c r="H390" i="4"/>
  <c r="K389" i="4"/>
  <c r="J389" i="4"/>
  <c r="I389" i="4"/>
  <c r="H389" i="4"/>
  <c r="L386" i="4"/>
  <c r="K386" i="4"/>
  <c r="J386" i="4"/>
  <c r="I386" i="4"/>
  <c r="H386" i="4"/>
  <c r="G386" i="4"/>
  <c r="F386" i="4"/>
  <c r="E386" i="4"/>
  <c r="K385" i="4"/>
  <c r="J385" i="4"/>
  <c r="I385" i="4"/>
  <c r="H385" i="4"/>
  <c r="K384" i="4"/>
  <c r="J384" i="4"/>
  <c r="I384" i="4"/>
  <c r="H384" i="4"/>
  <c r="K383" i="4"/>
  <c r="J383" i="4"/>
  <c r="I383" i="4"/>
  <c r="H383" i="4"/>
  <c r="K382" i="4"/>
  <c r="J382" i="4"/>
  <c r="I382" i="4"/>
  <c r="H382" i="4"/>
  <c r="K381" i="4"/>
  <c r="J381" i="4"/>
  <c r="I381" i="4"/>
  <c r="H381" i="4"/>
  <c r="K380" i="4"/>
  <c r="J380" i="4"/>
  <c r="I380" i="4"/>
  <c r="H380" i="4"/>
  <c r="K379" i="4"/>
  <c r="J379" i="4"/>
  <c r="I379" i="4"/>
  <c r="H379" i="4"/>
  <c r="K378" i="4"/>
  <c r="J378" i="4"/>
  <c r="I378" i="4"/>
  <c r="H378" i="4"/>
  <c r="K377" i="4"/>
  <c r="J377" i="4"/>
  <c r="I377" i="4"/>
  <c r="H377" i="4"/>
  <c r="L374" i="4"/>
  <c r="K374" i="4"/>
  <c r="J374" i="4"/>
  <c r="I374" i="4"/>
  <c r="H374" i="4"/>
  <c r="G374" i="4"/>
  <c r="F374" i="4"/>
  <c r="E374" i="4"/>
  <c r="K373" i="4"/>
  <c r="J373" i="4"/>
  <c r="I373" i="4"/>
  <c r="H373" i="4"/>
  <c r="K372" i="4"/>
  <c r="J372" i="4"/>
  <c r="I372" i="4"/>
  <c r="H372" i="4"/>
  <c r="K371" i="4"/>
  <c r="J371" i="4"/>
  <c r="I371" i="4"/>
  <c r="H371" i="4"/>
  <c r="K370" i="4"/>
  <c r="J370" i="4"/>
  <c r="I370" i="4"/>
  <c r="H370" i="4"/>
  <c r="K369" i="4"/>
  <c r="J369" i="4"/>
  <c r="I369" i="4"/>
  <c r="H369" i="4"/>
  <c r="K368" i="4"/>
  <c r="J368" i="4"/>
  <c r="I368" i="4"/>
  <c r="H368" i="4"/>
  <c r="K367" i="4"/>
  <c r="J367" i="4"/>
  <c r="I367" i="4"/>
  <c r="H367" i="4"/>
  <c r="K366" i="4"/>
  <c r="J366" i="4"/>
  <c r="I366" i="4"/>
  <c r="H366" i="4"/>
  <c r="K365" i="4"/>
  <c r="J365" i="4"/>
  <c r="I365" i="4"/>
  <c r="H365" i="4"/>
  <c r="L362" i="4"/>
  <c r="K362" i="4"/>
  <c r="J362" i="4"/>
  <c r="I362" i="4"/>
  <c r="H362" i="4"/>
  <c r="G362" i="4"/>
  <c r="F362" i="4"/>
  <c r="E362" i="4"/>
  <c r="K361" i="4"/>
  <c r="J361" i="4"/>
  <c r="I361" i="4"/>
  <c r="H361" i="4"/>
  <c r="K360" i="4"/>
  <c r="J360" i="4"/>
  <c r="I360" i="4"/>
  <c r="H360" i="4"/>
  <c r="K359" i="4"/>
  <c r="J359" i="4"/>
  <c r="I359" i="4"/>
  <c r="H359" i="4"/>
  <c r="K358" i="4"/>
  <c r="J358" i="4"/>
  <c r="I358" i="4"/>
  <c r="H358" i="4"/>
  <c r="K357" i="4"/>
  <c r="J357" i="4"/>
  <c r="I357" i="4"/>
  <c r="H357" i="4"/>
  <c r="K356" i="4"/>
  <c r="J356" i="4"/>
  <c r="I356" i="4"/>
  <c r="H356" i="4"/>
  <c r="K355" i="4"/>
  <c r="J355" i="4"/>
  <c r="I355" i="4"/>
  <c r="H355" i="4"/>
  <c r="K354" i="4"/>
  <c r="J354" i="4"/>
  <c r="I354" i="4"/>
  <c r="H354" i="4"/>
  <c r="K353" i="4"/>
  <c r="J353" i="4"/>
  <c r="I353" i="4"/>
  <c r="H353" i="4"/>
  <c r="L350" i="4"/>
  <c r="K350" i="4"/>
  <c r="J350" i="4"/>
  <c r="I350" i="4"/>
  <c r="H350" i="4"/>
  <c r="G350" i="4"/>
  <c r="F350" i="4"/>
  <c r="E350" i="4"/>
  <c r="K349" i="4"/>
  <c r="J349" i="4"/>
  <c r="I349" i="4"/>
  <c r="H349" i="4"/>
  <c r="K348" i="4"/>
  <c r="J348" i="4"/>
  <c r="I348" i="4"/>
  <c r="H348" i="4"/>
  <c r="K347" i="4"/>
  <c r="J347" i="4"/>
  <c r="I347" i="4"/>
  <c r="H347" i="4"/>
  <c r="K346" i="4"/>
  <c r="J346" i="4"/>
  <c r="I346" i="4"/>
  <c r="H346" i="4"/>
  <c r="K345" i="4"/>
  <c r="J345" i="4"/>
  <c r="I345" i="4"/>
  <c r="H345" i="4"/>
  <c r="K344" i="4"/>
  <c r="J344" i="4"/>
  <c r="I344" i="4"/>
  <c r="H344" i="4"/>
  <c r="K343" i="4"/>
  <c r="J343" i="4"/>
  <c r="I343" i="4"/>
  <c r="H343" i="4"/>
  <c r="K342" i="4"/>
  <c r="J342" i="4"/>
  <c r="I342" i="4"/>
  <c r="H342" i="4"/>
  <c r="K341" i="4"/>
  <c r="J341" i="4"/>
  <c r="I341" i="4"/>
  <c r="H341" i="4"/>
  <c r="L338" i="4"/>
  <c r="K338" i="4"/>
  <c r="J338" i="4"/>
  <c r="I338" i="4"/>
  <c r="H338" i="4"/>
  <c r="G338" i="4"/>
  <c r="F338" i="4"/>
  <c r="E338" i="4"/>
  <c r="K337" i="4"/>
  <c r="J337" i="4"/>
  <c r="I337" i="4"/>
  <c r="H337" i="4"/>
  <c r="K336" i="4"/>
  <c r="J336" i="4"/>
  <c r="I336" i="4"/>
  <c r="H336" i="4"/>
  <c r="K335" i="4"/>
  <c r="J335" i="4"/>
  <c r="I335" i="4"/>
  <c r="H335" i="4"/>
  <c r="K334" i="4"/>
  <c r="J334" i="4"/>
  <c r="I334" i="4"/>
  <c r="H334" i="4"/>
  <c r="K333" i="4"/>
  <c r="J333" i="4"/>
  <c r="I333" i="4"/>
  <c r="H333" i="4"/>
  <c r="K332" i="4"/>
  <c r="J332" i="4"/>
  <c r="I332" i="4"/>
  <c r="H332" i="4"/>
  <c r="K331" i="4"/>
  <c r="J331" i="4"/>
  <c r="I331" i="4"/>
  <c r="H331" i="4"/>
  <c r="K330" i="4"/>
  <c r="J330" i="4"/>
  <c r="I330" i="4"/>
  <c r="H330" i="4"/>
  <c r="K329" i="4"/>
  <c r="J329" i="4"/>
  <c r="I329" i="4"/>
  <c r="H329" i="4"/>
  <c r="L326" i="4"/>
  <c r="K326" i="4"/>
  <c r="J326" i="4"/>
  <c r="I326" i="4"/>
  <c r="H326" i="4"/>
  <c r="G326" i="4"/>
  <c r="F326" i="4"/>
  <c r="E326" i="4"/>
  <c r="K325" i="4"/>
  <c r="J325" i="4"/>
  <c r="I325" i="4"/>
  <c r="H325" i="4"/>
  <c r="K324" i="4"/>
  <c r="J324" i="4"/>
  <c r="I324" i="4"/>
  <c r="H324" i="4"/>
  <c r="K323" i="4"/>
  <c r="J323" i="4"/>
  <c r="I323" i="4"/>
  <c r="H323" i="4"/>
  <c r="K322" i="4"/>
  <c r="J322" i="4"/>
  <c r="I322" i="4"/>
  <c r="H322" i="4"/>
  <c r="L319" i="4"/>
  <c r="K319" i="4"/>
  <c r="J319" i="4"/>
  <c r="I319" i="4"/>
  <c r="H319" i="4"/>
  <c r="G319" i="4"/>
  <c r="F319" i="4"/>
  <c r="E319" i="4"/>
  <c r="K318" i="4"/>
  <c r="J318" i="4"/>
  <c r="I318" i="4"/>
  <c r="H318" i="4"/>
  <c r="K317" i="4"/>
  <c r="J317" i="4"/>
  <c r="I317" i="4"/>
  <c r="H317" i="4"/>
  <c r="K316" i="4"/>
  <c r="J316" i="4"/>
  <c r="I316" i="4"/>
  <c r="H316" i="4"/>
  <c r="K315" i="4"/>
  <c r="J315" i="4"/>
  <c r="I315" i="4"/>
  <c r="H315" i="4"/>
  <c r="K314" i="4"/>
  <c r="J314" i="4"/>
  <c r="I314" i="4"/>
  <c r="H314" i="4"/>
  <c r="K313" i="4"/>
  <c r="J313" i="4"/>
  <c r="I313" i="4"/>
  <c r="H313" i="4"/>
  <c r="K312" i="4"/>
  <c r="J312" i="4"/>
  <c r="I312" i="4"/>
  <c r="H312" i="4"/>
  <c r="K311" i="4"/>
  <c r="J311" i="4"/>
  <c r="I311" i="4"/>
  <c r="H311" i="4"/>
  <c r="K310" i="4"/>
  <c r="J310" i="4"/>
  <c r="I310" i="4"/>
  <c r="H310" i="4"/>
  <c r="L307" i="4"/>
  <c r="K307" i="4"/>
  <c r="J307" i="4"/>
  <c r="I307" i="4"/>
  <c r="H307" i="4"/>
  <c r="G307" i="4"/>
  <c r="F307" i="4"/>
  <c r="E307" i="4"/>
  <c r="K306" i="4"/>
  <c r="J306" i="4"/>
  <c r="I306" i="4"/>
  <c r="H306" i="4"/>
  <c r="K305" i="4"/>
  <c r="J305" i="4"/>
  <c r="I305" i="4"/>
  <c r="H305" i="4"/>
  <c r="K304" i="4"/>
  <c r="J304" i="4"/>
  <c r="I304" i="4"/>
  <c r="H304" i="4"/>
  <c r="K303" i="4"/>
  <c r="J303" i="4"/>
  <c r="I303" i="4"/>
  <c r="H303" i="4"/>
  <c r="K302" i="4"/>
  <c r="J302" i="4"/>
  <c r="I302" i="4"/>
  <c r="H302" i="4"/>
  <c r="K301" i="4"/>
  <c r="J301" i="4"/>
  <c r="I301" i="4"/>
  <c r="H301" i="4"/>
  <c r="K300" i="4"/>
  <c r="J300" i="4"/>
  <c r="I300" i="4"/>
  <c r="H300" i="4"/>
  <c r="K299" i="4"/>
  <c r="J299" i="4"/>
  <c r="I299" i="4"/>
  <c r="H299" i="4"/>
  <c r="K298" i="4"/>
  <c r="J298" i="4"/>
  <c r="I298" i="4"/>
  <c r="H298" i="4"/>
  <c r="L295" i="4"/>
  <c r="K295" i="4"/>
  <c r="J295" i="4"/>
  <c r="I295" i="4"/>
  <c r="H295" i="4"/>
  <c r="G295" i="4"/>
  <c r="F295" i="4"/>
  <c r="E295" i="4"/>
  <c r="K294" i="4"/>
  <c r="J294" i="4"/>
  <c r="I294" i="4"/>
  <c r="H294" i="4"/>
  <c r="K293" i="4"/>
  <c r="J293" i="4"/>
  <c r="I293" i="4"/>
  <c r="H293" i="4"/>
  <c r="K292" i="4"/>
  <c r="J292" i="4"/>
  <c r="I292" i="4"/>
  <c r="H292" i="4"/>
  <c r="K291" i="4"/>
  <c r="J291" i="4"/>
  <c r="I291" i="4"/>
  <c r="H291" i="4"/>
  <c r="K290" i="4"/>
  <c r="J290" i="4"/>
  <c r="I290" i="4"/>
  <c r="H290" i="4"/>
  <c r="K289" i="4"/>
  <c r="J289" i="4"/>
  <c r="I289" i="4"/>
  <c r="H289" i="4"/>
  <c r="K288" i="4"/>
  <c r="J288" i="4"/>
  <c r="I288" i="4"/>
  <c r="H288" i="4"/>
  <c r="K287" i="4"/>
  <c r="J287" i="4"/>
  <c r="I287" i="4"/>
  <c r="H287" i="4"/>
  <c r="K286" i="4"/>
  <c r="J286" i="4"/>
  <c r="I286" i="4"/>
  <c r="H286" i="4"/>
  <c r="L283" i="4"/>
  <c r="K283" i="4"/>
  <c r="J283" i="4"/>
  <c r="I283" i="4"/>
  <c r="H283" i="4"/>
  <c r="G283" i="4"/>
  <c r="F283" i="4"/>
  <c r="E283" i="4"/>
  <c r="K282" i="4"/>
  <c r="J282" i="4"/>
  <c r="I282" i="4"/>
  <c r="H282" i="4"/>
  <c r="K281" i="4"/>
  <c r="J281" i="4"/>
  <c r="I281" i="4"/>
  <c r="H281" i="4"/>
  <c r="K280" i="4"/>
  <c r="J280" i="4"/>
  <c r="I280" i="4"/>
  <c r="H280" i="4"/>
  <c r="K279" i="4"/>
  <c r="J279" i="4"/>
  <c r="I279" i="4"/>
  <c r="H279" i="4"/>
  <c r="K278" i="4"/>
  <c r="J278" i="4"/>
  <c r="I278" i="4"/>
  <c r="H278" i="4"/>
  <c r="K277" i="4"/>
  <c r="J277" i="4"/>
  <c r="I277" i="4"/>
  <c r="H277" i="4"/>
  <c r="K276" i="4"/>
  <c r="J276" i="4"/>
  <c r="I276" i="4"/>
  <c r="H276" i="4"/>
  <c r="K275" i="4"/>
  <c r="J275" i="4"/>
  <c r="I275" i="4"/>
  <c r="H275" i="4"/>
  <c r="K274" i="4"/>
  <c r="J274" i="4"/>
  <c r="I274" i="4"/>
  <c r="H274" i="4"/>
  <c r="L271" i="4"/>
  <c r="K271" i="4"/>
  <c r="J271" i="4"/>
  <c r="I271" i="4"/>
  <c r="H271" i="4"/>
  <c r="G271" i="4"/>
  <c r="F271" i="4"/>
  <c r="E271" i="4"/>
  <c r="K270" i="4"/>
  <c r="J270" i="4"/>
  <c r="I270" i="4"/>
  <c r="H270" i="4"/>
  <c r="K269" i="4"/>
  <c r="J269" i="4"/>
  <c r="I269" i="4"/>
  <c r="H269" i="4"/>
  <c r="K268" i="4"/>
  <c r="J268" i="4"/>
  <c r="I268" i="4"/>
  <c r="H268" i="4"/>
  <c r="K267" i="4"/>
  <c r="J267" i="4"/>
  <c r="I267" i="4"/>
  <c r="H267" i="4"/>
  <c r="K266" i="4"/>
  <c r="J266" i="4"/>
  <c r="I266" i="4"/>
  <c r="H266" i="4"/>
  <c r="K265" i="4"/>
  <c r="J265" i="4"/>
  <c r="I265" i="4"/>
  <c r="H265" i="4"/>
  <c r="K264" i="4"/>
  <c r="J264" i="4"/>
  <c r="I264" i="4"/>
  <c r="H264" i="4"/>
  <c r="K263" i="4"/>
  <c r="J263" i="4"/>
  <c r="I263" i="4"/>
  <c r="H263" i="4"/>
  <c r="K262" i="4"/>
  <c r="J262" i="4"/>
  <c r="I262" i="4"/>
  <c r="H262" i="4"/>
  <c r="L259" i="4"/>
  <c r="K259" i="4"/>
  <c r="J259" i="4"/>
  <c r="I259" i="4"/>
  <c r="H259" i="4"/>
  <c r="G259" i="4"/>
  <c r="F259" i="4"/>
  <c r="E259" i="4"/>
  <c r="K258" i="4"/>
  <c r="J258" i="4"/>
  <c r="I258" i="4"/>
  <c r="H258" i="4"/>
  <c r="K257" i="4"/>
  <c r="J257" i="4"/>
  <c r="I257" i="4"/>
  <c r="H257" i="4"/>
  <c r="K256" i="4"/>
  <c r="J256" i="4"/>
  <c r="I256" i="4"/>
  <c r="H256" i="4"/>
  <c r="K255" i="4"/>
  <c r="J255" i="4"/>
  <c r="I255" i="4"/>
  <c r="H255" i="4"/>
  <c r="K254" i="4"/>
  <c r="J254" i="4"/>
  <c r="I254" i="4"/>
  <c r="H254" i="4"/>
  <c r="K253" i="4"/>
  <c r="J253" i="4"/>
  <c r="I253" i="4"/>
  <c r="H253" i="4"/>
  <c r="K252" i="4"/>
  <c r="J252" i="4"/>
  <c r="I252" i="4"/>
  <c r="H252" i="4"/>
  <c r="K251" i="4"/>
  <c r="J251" i="4"/>
  <c r="I251" i="4"/>
  <c r="H251" i="4"/>
  <c r="K250" i="4"/>
  <c r="J250" i="4"/>
  <c r="I250" i="4"/>
  <c r="H250" i="4"/>
  <c r="L247" i="4"/>
  <c r="K247" i="4"/>
  <c r="J247" i="4"/>
  <c r="I247" i="4"/>
  <c r="H247" i="4"/>
  <c r="G247" i="4"/>
  <c r="F247" i="4"/>
  <c r="E247" i="4"/>
  <c r="K246" i="4"/>
  <c r="J246" i="4"/>
  <c r="I246" i="4"/>
  <c r="H246" i="4"/>
  <c r="K245" i="4"/>
  <c r="J245" i="4"/>
  <c r="I245" i="4"/>
  <c r="H245" i="4"/>
  <c r="K244" i="4"/>
  <c r="J244" i="4"/>
  <c r="I244" i="4"/>
  <c r="H244" i="4"/>
  <c r="K243" i="4"/>
  <c r="J243" i="4"/>
  <c r="I243" i="4"/>
  <c r="H243" i="4"/>
  <c r="K242" i="4"/>
  <c r="J242" i="4"/>
  <c r="I242" i="4"/>
  <c r="H242" i="4"/>
  <c r="K241" i="4"/>
  <c r="J241" i="4"/>
  <c r="I241" i="4"/>
  <c r="H241" i="4"/>
  <c r="K240" i="4"/>
  <c r="J240" i="4"/>
  <c r="I240" i="4"/>
  <c r="H240" i="4"/>
  <c r="K239" i="4"/>
  <c r="J239" i="4"/>
  <c r="I239" i="4"/>
  <c r="H239" i="4"/>
  <c r="K238" i="4"/>
  <c r="J238" i="4"/>
  <c r="I238" i="4"/>
  <c r="H238" i="4"/>
  <c r="L235" i="4"/>
  <c r="K235" i="4"/>
  <c r="J235" i="4"/>
  <c r="I235" i="4"/>
  <c r="H235" i="4"/>
  <c r="G235" i="4"/>
  <c r="F235" i="4"/>
  <c r="E235" i="4"/>
  <c r="K234" i="4"/>
  <c r="J234" i="4"/>
  <c r="I234" i="4"/>
  <c r="H234" i="4"/>
  <c r="K233" i="4"/>
  <c r="J233" i="4"/>
  <c r="I233" i="4"/>
  <c r="H233" i="4"/>
  <c r="K232" i="4"/>
  <c r="J232" i="4"/>
  <c r="I232" i="4"/>
  <c r="H232" i="4"/>
  <c r="K231" i="4"/>
  <c r="J231" i="4"/>
  <c r="I231" i="4"/>
  <c r="H231" i="4"/>
  <c r="K230" i="4"/>
  <c r="J230" i="4"/>
  <c r="I230" i="4"/>
  <c r="H230" i="4"/>
  <c r="K229" i="4"/>
  <c r="J229" i="4"/>
  <c r="I229" i="4"/>
  <c r="H229" i="4"/>
  <c r="K228" i="4"/>
  <c r="J228" i="4"/>
  <c r="I228" i="4"/>
  <c r="H228" i="4"/>
  <c r="K227" i="4"/>
  <c r="J227" i="4"/>
  <c r="I227" i="4"/>
  <c r="H227" i="4"/>
  <c r="K226" i="4"/>
  <c r="J226" i="4"/>
  <c r="I226" i="4"/>
  <c r="H226" i="4"/>
  <c r="L223" i="4"/>
  <c r="K223" i="4"/>
  <c r="J223" i="4"/>
  <c r="I223" i="4"/>
  <c r="H223" i="4"/>
  <c r="G223" i="4"/>
  <c r="F223" i="4"/>
  <c r="E223" i="4"/>
  <c r="K222" i="4"/>
  <c r="J222" i="4"/>
  <c r="I222" i="4"/>
  <c r="H222" i="4"/>
  <c r="K221" i="4"/>
  <c r="J221" i="4"/>
  <c r="I221" i="4"/>
  <c r="H221" i="4"/>
  <c r="K220" i="4"/>
  <c r="J220" i="4"/>
  <c r="I220" i="4"/>
  <c r="H220" i="4"/>
  <c r="K219" i="4"/>
  <c r="J219" i="4"/>
  <c r="I219" i="4"/>
  <c r="H219" i="4"/>
  <c r="K218" i="4"/>
  <c r="J218" i="4"/>
  <c r="I218" i="4"/>
  <c r="H218" i="4"/>
  <c r="K217" i="4"/>
  <c r="J217" i="4"/>
  <c r="I217" i="4"/>
  <c r="H217" i="4"/>
  <c r="K216" i="4"/>
  <c r="J216" i="4"/>
  <c r="I216" i="4"/>
  <c r="H216" i="4"/>
  <c r="K215" i="4"/>
  <c r="J215" i="4"/>
  <c r="I215" i="4"/>
  <c r="H215" i="4"/>
  <c r="K214" i="4"/>
  <c r="J214" i="4"/>
  <c r="I214" i="4"/>
  <c r="H214" i="4"/>
  <c r="L211" i="4"/>
  <c r="K211" i="4"/>
  <c r="J211" i="4"/>
  <c r="I211" i="4"/>
  <c r="H211" i="4"/>
  <c r="G211" i="4"/>
  <c r="F211" i="4"/>
  <c r="E211" i="4"/>
  <c r="K210" i="4"/>
  <c r="J210" i="4"/>
  <c r="I210" i="4"/>
  <c r="H210" i="4"/>
  <c r="K209" i="4"/>
  <c r="J209" i="4"/>
  <c r="I209" i="4"/>
  <c r="H209" i="4"/>
  <c r="K208" i="4"/>
  <c r="J208" i="4"/>
  <c r="I208" i="4"/>
  <c r="H208" i="4"/>
  <c r="K207" i="4"/>
  <c r="J207" i="4"/>
  <c r="I207" i="4"/>
  <c r="H207" i="4"/>
  <c r="K206" i="4"/>
  <c r="J206" i="4"/>
  <c r="I206" i="4"/>
  <c r="H206" i="4"/>
  <c r="K205" i="4"/>
  <c r="J205" i="4"/>
  <c r="I205" i="4"/>
  <c r="H205" i="4"/>
  <c r="K204" i="4"/>
  <c r="J204" i="4"/>
  <c r="I204" i="4"/>
  <c r="H204" i="4"/>
  <c r="K203" i="4"/>
  <c r="J203" i="4"/>
  <c r="I203" i="4"/>
  <c r="H203" i="4"/>
  <c r="K202" i="4"/>
  <c r="J202" i="4"/>
  <c r="I202" i="4"/>
  <c r="H202" i="4"/>
  <c r="L199" i="4"/>
  <c r="K199" i="4"/>
  <c r="J199" i="4"/>
  <c r="I199" i="4"/>
  <c r="H199" i="4"/>
  <c r="G199" i="4"/>
  <c r="F199" i="4"/>
  <c r="E199" i="4"/>
  <c r="K198" i="4"/>
  <c r="J198" i="4"/>
  <c r="I198" i="4"/>
  <c r="H198" i="4"/>
  <c r="K197" i="4"/>
  <c r="J197" i="4"/>
  <c r="I197" i="4"/>
  <c r="H197" i="4"/>
  <c r="K196" i="4"/>
  <c r="J196" i="4"/>
  <c r="I196" i="4"/>
  <c r="H196" i="4"/>
  <c r="K195" i="4"/>
  <c r="J195" i="4"/>
  <c r="I195" i="4"/>
  <c r="H195" i="4"/>
  <c r="K194" i="4"/>
  <c r="J194" i="4"/>
  <c r="I194" i="4"/>
  <c r="H194" i="4"/>
  <c r="L192" i="4"/>
  <c r="K192" i="4"/>
  <c r="J192" i="4"/>
  <c r="I192" i="4"/>
  <c r="H192" i="4"/>
  <c r="G192" i="4"/>
  <c r="F192" i="4"/>
  <c r="E192" i="4"/>
  <c r="K191" i="4"/>
  <c r="J191" i="4"/>
  <c r="I191" i="4"/>
  <c r="H191" i="4"/>
  <c r="K190" i="4"/>
  <c r="J190" i="4"/>
  <c r="I190" i="4"/>
  <c r="H190" i="4"/>
  <c r="K189" i="4"/>
  <c r="J189" i="4"/>
  <c r="I189" i="4"/>
  <c r="H189" i="4"/>
  <c r="K188" i="4"/>
  <c r="J188" i="4"/>
  <c r="I188" i="4"/>
  <c r="H188" i="4"/>
  <c r="K187" i="4"/>
  <c r="J187" i="4"/>
  <c r="I187" i="4"/>
  <c r="H187" i="4"/>
  <c r="K186" i="4"/>
  <c r="J186" i="4"/>
  <c r="I186" i="4"/>
  <c r="H186" i="4"/>
  <c r="K185" i="4"/>
  <c r="J185" i="4"/>
  <c r="I185" i="4"/>
  <c r="H185" i="4"/>
  <c r="K184" i="4"/>
  <c r="J184" i="4"/>
  <c r="I184" i="4"/>
  <c r="H184" i="4"/>
  <c r="K183" i="4"/>
  <c r="J183" i="4"/>
  <c r="I183" i="4"/>
  <c r="H183" i="4"/>
  <c r="L180" i="4"/>
  <c r="K180" i="4"/>
  <c r="J180" i="4"/>
  <c r="I180" i="4"/>
  <c r="H180" i="4"/>
  <c r="G180" i="4"/>
  <c r="F180" i="4"/>
  <c r="E180" i="4"/>
  <c r="K179" i="4"/>
  <c r="J179" i="4"/>
  <c r="I179" i="4"/>
  <c r="H179" i="4"/>
  <c r="K178" i="4"/>
  <c r="J178" i="4"/>
  <c r="I178" i="4"/>
  <c r="H178" i="4"/>
  <c r="K177" i="4"/>
  <c r="J177" i="4"/>
  <c r="I177" i="4"/>
  <c r="H177" i="4"/>
  <c r="K176" i="4"/>
  <c r="J176" i="4"/>
  <c r="I176" i="4"/>
  <c r="H176" i="4"/>
  <c r="K175" i="4"/>
  <c r="J175" i="4"/>
  <c r="I175" i="4"/>
  <c r="H175" i="4"/>
  <c r="K174" i="4"/>
  <c r="J174" i="4"/>
  <c r="I174" i="4"/>
  <c r="H174" i="4"/>
  <c r="K173" i="4"/>
  <c r="J173" i="4"/>
  <c r="I173" i="4"/>
  <c r="H173" i="4"/>
  <c r="K172" i="4"/>
  <c r="J172" i="4"/>
  <c r="I172" i="4"/>
  <c r="H172" i="4"/>
  <c r="K171" i="4"/>
  <c r="J171" i="4"/>
  <c r="I171" i="4"/>
  <c r="H171" i="4"/>
  <c r="L168" i="4"/>
  <c r="K168" i="4"/>
  <c r="J168" i="4"/>
  <c r="I168" i="4"/>
  <c r="H168" i="4"/>
  <c r="G168" i="4"/>
  <c r="F168" i="4"/>
  <c r="E168" i="4"/>
  <c r="K167" i="4"/>
  <c r="J167" i="4"/>
  <c r="I167" i="4"/>
  <c r="H167" i="4"/>
  <c r="K166" i="4"/>
  <c r="J166" i="4"/>
  <c r="I166" i="4"/>
  <c r="H166" i="4"/>
  <c r="K165" i="4"/>
  <c r="J165" i="4"/>
  <c r="I165" i="4"/>
  <c r="H165" i="4"/>
  <c r="K164" i="4"/>
  <c r="J164" i="4"/>
  <c r="I164" i="4"/>
  <c r="H164" i="4"/>
  <c r="K163" i="4"/>
  <c r="J163" i="4"/>
  <c r="I163" i="4"/>
  <c r="H163" i="4"/>
  <c r="K162" i="4"/>
  <c r="J162" i="4"/>
  <c r="I162" i="4"/>
  <c r="H162" i="4"/>
  <c r="K161" i="4"/>
  <c r="J161" i="4"/>
  <c r="I161" i="4"/>
  <c r="H161" i="4"/>
  <c r="K160" i="4"/>
  <c r="J160" i="4"/>
  <c r="I160" i="4"/>
  <c r="H160" i="4"/>
  <c r="K159" i="4"/>
  <c r="J159" i="4"/>
  <c r="I159" i="4"/>
  <c r="H159" i="4"/>
  <c r="L156" i="4"/>
  <c r="K156" i="4"/>
  <c r="J156" i="4"/>
  <c r="I156" i="4"/>
  <c r="H156" i="4"/>
  <c r="G156" i="4"/>
  <c r="F156" i="4"/>
  <c r="E156" i="4"/>
  <c r="K155" i="4"/>
  <c r="J155" i="4"/>
  <c r="I155" i="4"/>
  <c r="H155" i="4"/>
  <c r="K154" i="4"/>
  <c r="J154" i="4"/>
  <c r="I154" i="4"/>
  <c r="H154" i="4"/>
  <c r="K153" i="4"/>
  <c r="J153" i="4"/>
  <c r="I153" i="4"/>
  <c r="H153" i="4"/>
  <c r="K152" i="4"/>
  <c r="J152" i="4"/>
  <c r="I152" i="4"/>
  <c r="H152" i="4"/>
  <c r="K151" i="4"/>
  <c r="J151" i="4"/>
  <c r="I151" i="4"/>
  <c r="H151" i="4"/>
  <c r="K150" i="4"/>
  <c r="J150" i="4"/>
  <c r="I150" i="4"/>
  <c r="H150" i="4"/>
  <c r="K149" i="4"/>
  <c r="J149" i="4"/>
  <c r="I149" i="4"/>
  <c r="H149" i="4"/>
  <c r="K148" i="4"/>
  <c r="J148" i="4"/>
  <c r="I148" i="4"/>
  <c r="H148" i="4"/>
  <c r="K147" i="4"/>
  <c r="J147" i="4"/>
  <c r="I147" i="4"/>
  <c r="H147" i="4"/>
  <c r="L144" i="4"/>
  <c r="K144" i="4"/>
  <c r="J144" i="4"/>
  <c r="I144" i="4"/>
  <c r="H144" i="4"/>
  <c r="G144" i="4"/>
  <c r="F144" i="4"/>
  <c r="E144" i="4"/>
  <c r="K143" i="4"/>
  <c r="J143" i="4"/>
  <c r="I143" i="4"/>
  <c r="H143" i="4"/>
  <c r="K142" i="4"/>
  <c r="J142" i="4"/>
  <c r="I142" i="4"/>
  <c r="H142" i="4"/>
  <c r="K141" i="4"/>
  <c r="J141" i="4"/>
  <c r="I141" i="4"/>
  <c r="H141" i="4"/>
  <c r="K140" i="4"/>
  <c r="J140" i="4"/>
  <c r="I140" i="4"/>
  <c r="H140" i="4"/>
  <c r="K139" i="4"/>
  <c r="J139" i="4"/>
  <c r="I139" i="4"/>
  <c r="H139" i="4"/>
  <c r="K138" i="4"/>
  <c r="J138" i="4"/>
  <c r="I138" i="4"/>
  <c r="H138" i="4"/>
  <c r="K137" i="4"/>
  <c r="J137" i="4"/>
  <c r="I137" i="4"/>
  <c r="H137" i="4"/>
  <c r="K136" i="4"/>
  <c r="J136" i="4"/>
  <c r="I136" i="4"/>
  <c r="H136" i="4"/>
  <c r="K135" i="4"/>
  <c r="J135" i="4"/>
  <c r="I135" i="4"/>
  <c r="H135" i="4"/>
  <c r="L132" i="4"/>
  <c r="K132" i="4"/>
  <c r="J132" i="4"/>
  <c r="I132" i="4"/>
  <c r="H132" i="4"/>
  <c r="G132" i="4"/>
  <c r="F132" i="4"/>
  <c r="E132" i="4"/>
  <c r="K131" i="4"/>
  <c r="J131" i="4"/>
  <c r="I131" i="4"/>
  <c r="H131" i="4"/>
  <c r="K130" i="4"/>
  <c r="J130" i="4"/>
  <c r="I130" i="4"/>
  <c r="H130" i="4"/>
  <c r="K129" i="4"/>
  <c r="J129" i="4"/>
  <c r="I129" i="4"/>
  <c r="H129" i="4"/>
  <c r="K128" i="4"/>
  <c r="J128" i="4"/>
  <c r="I128" i="4"/>
  <c r="H128" i="4"/>
  <c r="K127" i="4"/>
  <c r="J127" i="4"/>
  <c r="I127" i="4"/>
  <c r="H127" i="4"/>
  <c r="K126" i="4"/>
  <c r="J126" i="4"/>
  <c r="I126" i="4"/>
  <c r="H126" i="4"/>
  <c r="K125" i="4"/>
  <c r="J125" i="4"/>
  <c r="I125" i="4"/>
  <c r="H125" i="4"/>
  <c r="K124" i="4"/>
  <c r="J124" i="4"/>
  <c r="I124" i="4"/>
  <c r="H124" i="4"/>
  <c r="K123" i="4"/>
  <c r="J123" i="4"/>
  <c r="I123" i="4"/>
  <c r="H123" i="4"/>
  <c r="L120" i="4"/>
  <c r="K120" i="4"/>
  <c r="J120" i="4"/>
  <c r="I120" i="4"/>
  <c r="H120" i="4"/>
  <c r="G120" i="4"/>
  <c r="F120" i="4"/>
  <c r="E120" i="4"/>
  <c r="K119" i="4"/>
  <c r="J119" i="4"/>
  <c r="I119" i="4"/>
  <c r="H119" i="4"/>
  <c r="K118" i="4"/>
  <c r="J118" i="4"/>
  <c r="I118" i="4"/>
  <c r="H118" i="4"/>
  <c r="K117" i="4"/>
  <c r="J117" i="4"/>
  <c r="I117" i="4"/>
  <c r="H117" i="4"/>
  <c r="K116" i="4"/>
  <c r="J116" i="4"/>
  <c r="I116" i="4"/>
  <c r="H116" i="4"/>
  <c r="K115" i="4"/>
  <c r="J115" i="4"/>
  <c r="I115" i="4"/>
  <c r="H115" i="4"/>
  <c r="K114" i="4"/>
  <c r="J114" i="4"/>
  <c r="I114" i="4"/>
  <c r="H114" i="4"/>
  <c r="K113" i="4"/>
  <c r="J113" i="4"/>
  <c r="I113" i="4"/>
  <c r="H113" i="4"/>
  <c r="K112" i="4"/>
  <c r="J112" i="4"/>
  <c r="I112" i="4"/>
  <c r="H112" i="4"/>
  <c r="K111" i="4"/>
  <c r="J111" i="4"/>
  <c r="I111" i="4"/>
  <c r="H111" i="4"/>
  <c r="L108" i="4"/>
  <c r="K108" i="4"/>
  <c r="J108" i="4"/>
  <c r="I108" i="4"/>
  <c r="H108" i="4"/>
  <c r="G108" i="4"/>
  <c r="F108" i="4"/>
  <c r="E108" i="4"/>
  <c r="K107" i="4"/>
  <c r="J107" i="4"/>
  <c r="I107" i="4"/>
  <c r="H107" i="4"/>
  <c r="K106" i="4"/>
  <c r="J106" i="4"/>
  <c r="I106" i="4"/>
  <c r="H106" i="4"/>
  <c r="K105" i="4"/>
  <c r="J105" i="4"/>
  <c r="I105" i="4"/>
  <c r="H105" i="4"/>
  <c r="K104" i="4"/>
  <c r="J104" i="4"/>
  <c r="I104" i="4"/>
  <c r="H104" i="4"/>
  <c r="K103" i="4"/>
  <c r="J103" i="4"/>
  <c r="I103" i="4"/>
  <c r="H103" i="4"/>
  <c r="K102" i="4"/>
  <c r="J102" i="4"/>
  <c r="I102" i="4"/>
  <c r="H102" i="4"/>
  <c r="K101" i="4"/>
  <c r="J101" i="4"/>
  <c r="I101" i="4"/>
  <c r="H101" i="4"/>
  <c r="K100" i="4"/>
  <c r="J100" i="4"/>
  <c r="I100" i="4"/>
  <c r="H100" i="4"/>
  <c r="K99" i="4"/>
  <c r="J99" i="4"/>
  <c r="I99" i="4"/>
  <c r="H99" i="4"/>
  <c r="L96" i="4"/>
  <c r="K96" i="4"/>
  <c r="J96" i="4"/>
  <c r="I96" i="4"/>
  <c r="H96" i="4"/>
  <c r="G96" i="4"/>
  <c r="F96" i="4"/>
  <c r="E96" i="4"/>
  <c r="K95" i="4"/>
  <c r="J95" i="4"/>
  <c r="I95" i="4"/>
  <c r="H95" i="4"/>
  <c r="K94" i="4"/>
  <c r="J94" i="4"/>
  <c r="I94" i="4"/>
  <c r="H94" i="4"/>
  <c r="K93" i="4"/>
  <c r="J93" i="4"/>
  <c r="I93" i="4"/>
  <c r="H93" i="4"/>
  <c r="K92" i="4"/>
  <c r="J92" i="4"/>
  <c r="I92" i="4"/>
  <c r="H92" i="4"/>
  <c r="K91" i="4"/>
  <c r="J91" i="4"/>
  <c r="I91" i="4"/>
  <c r="H91" i="4"/>
  <c r="K90" i="4"/>
  <c r="J90" i="4"/>
  <c r="I90" i="4"/>
  <c r="H90" i="4"/>
  <c r="K89" i="4"/>
  <c r="J89" i="4"/>
  <c r="I89" i="4"/>
  <c r="H89" i="4"/>
  <c r="K88" i="4"/>
  <c r="J88" i="4"/>
  <c r="I88" i="4"/>
  <c r="H88" i="4"/>
  <c r="K87" i="4"/>
  <c r="J87" i="4"/>
  <c r="I87" i="4"/>
  <c r="H87" i="4"/>
  <c r="L84" i="4"/>
  <c r="K84" i="4"/>
  <c r="J84" i="4"/>
  <c r="I84" i="4"/>
  <c r="H84" i="4"/>
  <c r="G84" i="4"/>
  <c r="F84" i="4"/>
  <c r="E84" i="4"/>
  <c r="K83" i="4"/>
  <c r="J83" i="4"/>
  <c r="I83" i="4"/>
  <c r="H83" i="4"/>
  <c r="K82" i="4"/>
  <c r="J82" i="4"/>
  <c r="I82" i="4"/>
  <c r="H82" i="4"/>
  <c r="K81" i="4"/>
  <c r="J81" i="4"/>
  <c r="I81" i="4"/>
  <c r="H81" i="4"/>
  <c r="K80" i="4"/>
  <c r="J80" i="4"/>
  <c r="I80" i="4"/>
  <c r="H80" i="4"/>
  <c r="K79" i="4"/>
  <c r="J79" i="4"/>
  <c r="I79" i="4"/>
  <c r="H79" i="4"/>
  <c r="K78" i="4"/>
  <c r="J78" i="4"/>
  <c r="I78" i="4"/>
  <c r="H78" i="4"/>
  <c r="K77" i="4"/>
  <c r="J77" i="4"/>
  <c r="I77" i="4"/>
  <c r="H77" i="4"/>
  <c r="K76" i="4"/>
  <c r="J76" i="4"/>
  <c r="I76" i="4"/>
  <c r="H76" i="4"/>
  <c r="K75" i="4"/>
  <c r="J75" i="4"/>
  <c r="I75" i="4"/>
  <c r="H75" i="4"/>
  <c r="L72" i="4"/>
  <c r="K72" i="4"/>
  <c r="J72" i="4"/>
  <c r="I72" i="4"/>
  <c r="H72" i="4"/>
  <c r="G72" i="4"/>
  <c r="F72" i="4"/>
  <c r="E72" i="4"/>
  <c r="K71" i="4"/>
  <c r="J71" i="4"/>
  <c r="I71" i="4"/>
  <c r="H71" i="4"/>
  <c r="K70" i="4"/>
  <c r="J70" i="4"/>
  <c r="I70" i="4"/>
  <c r="H70" i="4"/>
  <c r="K69" i="4"/>
  <c r="J69" i="4"/>
  <c r="I69" i="4"/>
  <c r="H69" i="4"/>
  <c r="K68" i="4"/>
  <c r="J68" i="4"/>
  <c r="I68" i="4"/>
  <c r="H68" i="4"/>
  <c r="K67" i="4"/>
  <c r="J67" i="4"/>
  <c r="I67" i="4"/>
  <c r="H67" i="4"/>
  <c r="K66" i="4"/>
  <c r="J66" i="4"/>
  <c r="I66" i="4"/>
  <c r="H66" i="4"/>
  <c r="K65" i="4"/>
  <c r="J65" i="4"/>
  <c r="I65" i="4"/>
  <c r="H65" i="4"/>
  <c r="K64" i="4"/>
  <c r="J64" i="4"/>
  <c r="I64" i="4"/>
  <c r="H64" i="4"/>
  <c r="K63" i="4"/>
  <c r="J63" i="4"/>
  <c r="I63" i="4"/>
  <c r="H63" i="4"/>
  <c r="L60" i="4"/>
  <c r="K60" i="4"/>
  <c r="J60" i="4"/>
  <c r="I60" i="4"/>
  <c r="H60" i="4"/>
  <c r="G60" i="4"/>
  <c r="F60" i="4"/>
  <c r="E60" i="4"/>
  <c r="K59" i="4"/>
  <c r="J59" i="4"/>
  <c r="I59" i="4"/>
  <c r="H59" i="4"/>
  <c r="K58" i="4"/>
  <c r="J58" i="4"/>
  <c r="I58" i="4"/>
  <c r="H58" i="4"/>
  <c r="K57" i="4"/>
  <c r="J57" i="4"/>
  <c r="I57" i="4"/>
  <c r="H57" i="4"/>
  <c r="K56" i="4"/>
  <c r="J56" i="4"/>
  <c r="I56" i="4"/>
  <c r="H56" i="4"/>
  <c r="K55" i="4"/>
  <c r="J55" i="4"/>
  <c r="I55" i="4"/>
  <c r="H55" i="4"/>
  <c r="K54" i="4"/>
  <c r="J54" i="4"/>
  <c r="I54" i="4"/>
  <c r="H54" i="4"/>
  <c r="K53" i="4"/>
  <c r="J53" i="4"/>
  <c r="I53" i="4"/>
  <c r="H53" i="4"/>
  <c r="K52" i="4"/>
  <c r="J52" i="4"/>
  <c r="I52" i="4"/>
  <c r="H52" i="4"/>
  <c r="K51" i="4"/>
  <c r="J51" i="4"/>
  <c r="I51" i="4"/>
  <c r="H51" i="4"/>
  <c r="L48" i="4"/>
  <c r="K48" i="4"/>
  <c r="J48" i="4"/>
  <c r="I48" i="4"/>
  <c r="H48" i="4"/>
  <c r="G48" i="4"/>
  <c r="F48" i="4"/>
  <c r="E48" i="4"/>
  <c r="K47" i="4"/>
  <c r="J47" i="4"/>
  <c r="I47" i="4"/>
  <c r="H47" i="4"/>
  <c r="K46" i="4"/>
  <c r="J46" i="4"/>
  <c r="I46" i="4"/>
  <c r="H46" i="4"/>
  <c r="K45" i="4"/>
  <c r="J45" i="4"/>
  <c r="I45" i="4"/>
  <c r="H45" i="4"/>
  <c r="K44" i="4"/>
  <c r="J44" i="4"/>
  <c r="I44" i="4"/>
  <c r="H44" i="4"/>
  <c r="K43" i="4"/>
  <c r="J43" i="4"/>
  <c r="I43" i="4"/>
  <c r="H43" i="4"/>
  <c r="K42" i="4"/>
  <c r="J42" i="4"/>
  <c r="I42" i="4"/>
  <c r="H42" i="4"/>
  <c r="K41" i="4"/>
  <c r="J41" i="4"/>
  <c r="I41" i="4"/>
  <c r="H41" i="4"/>
  <c r="K40" i="4"/>
  <c r="J40" i="4"/>
  <c r="I40" i="4"/>
  <c r="H40" i="4"/>
  <c r="K39" i="4"/>
  <c r="J39" i="4"/>
  <c r="I39" i="4"/>
  <c r="H39" i="4"/>
  <c r="L36" i="4"/>
  <c r="K36" i="4"/>
  <c r="J36" i="4"/>
  <c r="I36" i="4"/>
  <c r="H36" i="4"/>
  <c r="G36" i="4"/>
  <c r="F36" i="4"/>
  <c r="E36" i="4"/>
  <c r="K35" i="4"/>
  <c r="J35" i="4"/>
  <c r="I35" i="4"/>
  <c r="H35" i="4"/>
  <c r="K34" i="4"/>
  <c r="J34" i="4"/>
  <c r="I34" i="4"/>
  <c r="H34" i="4"/>
  <c r="K33" i="4"/>
  <c r="J33" i="4"/>
  <c r="I33" i="4"/>
  <c r="H33" i="4"/>
  <c r="K32" i="4"/>
  <c r="J32" i="4"/>
  <c r="I32" i="4"/>
  <c r="H32" i="4"/>
  <c r="K31" i="4"/>
  <c r="J31" i="4"/>
  <c r="I31" i="4"/>
  <c r="H31" i="4"/>
  <c r="K30" i="4"/>
  <c r="J30" i="4"/>
  <c r="I30" i="4"/>
  <c r="H30" i="4"/>
  <c r="K29" i="4"/>
  <c r="J29" i="4"/>
  <c r="I29" i="4"/>
  <c r="H29" i="4"/>
  <c r="K28" i="4"/>
  <c r="J28" i="4"/>
  <c r="I28" i="4"/>
  <c r="H28" i="4"/>
  <c r="K27" i="4"/>
  <c r="J27" i="4"/>
  <c r="I27" i="4"/>
  <c r="H27" i="4"/>
  <c r="L24" i="4"/>
  <c r="K24" i="4"/>
  <c r="J24" i="4"/>
  <c r="I24" i="4"/>
  <c r="H24" i="4"/>
  <c r="G24" i="4"/>
  <c r="F24" i="4"/>
  <c r="E24" i="4"/>
  <c r="K23" i="4"/>
  <c r="J23" i="4"/>
  <c r="I23" i="4"/>
  <c r="H23" i="4"/>
  <c r="K22" i="4"/>
  <c r="J22" i="4"/>
  <c r="I22" i="4"/>
  <c r="H22" i="4"/>
  <c r="K21" i="4"/>
  <c r="J21" i="4"/>
  <c r="I21" i="4"/>
  <c r="H21" i="4"/>
  <c r="K20" i="4"/>
  <c r="J20" i="4"/>
  <c r="I20" i="4"/>
  <c r="H20" i="4"/>
  <c r="K19" i="4"/>
  <c r="J19" i="4"/>
  <c r="I19" i="4"/>
  <c r="H19" i="4"/>
  <c r="K18" i="4"/>
  <c r="J18" i="4"/>
  <c r="I18" i="4"/>
  <c r="H18" i="4"/>
  <c r="K17" i="4"/>
  <c r="J17" i="4"/>
  <c r="I17" i="4"/>
  <c r="H17" i="4"/>
  <c r="K16" i="4"/>
  <c r="J16" i="4"/>
  <c r="I16" i="4"/>
  <c r="H16" i="4"/>
  <c r="K15" i="4"/>
  <c r="J15" i="4"/>
  <c r="I15" i="4"/>
  <c r="H15" i="4"/>
  <c r="L12" i="4"/>
  <c r="K12" i="4"/>
  <c r="J12" i="4"/>
  <c r="I12" i="4"/>
  <c r="H12" i="4"/>
  <c r="G12" i="4"/>
  <c r="F12" i="4"/>
  <c r="E12" i="4"/>
  <c r="K11" i="4"/>
  <c r="J11" i="4"/>
  <c r="I11" i="4"/>
  <c r="H11" i="4"/>
  <c r="K10" i="4"/>
  <c r="J10" i="4"/>
  <c r="I10" i="4"/>
  <c r="H10" i="4"/>
  <c r="K9" i="4"/>
  <c r="J9" i="4"/>
  <c r="I9" i="4"/>
  <c r="H9" i="4"/>
  <c r="K8" i="4"/>
  <c r="J8" i="4"/>
  <c r="I8" i="4"/>
  <c r="H8" i="4"/>
  <c r="K7" i="4"/>
  <c r="J7" i="4"/>
  <c r="I7" i="4"/>
  <c r="H7" i="4"/>
  <c r="K6" i="4"/>
  <c r="J6" i="4"/>
  <c r="I6" i="4"/>
  <c r="H6" i="4"/>
  <c r="K5" i="4"/>
  <c r="J5" i="4"/>
  <c r="I5" i="4"/>
  <c r="H5" i="4"/>
  <c r="K4" i="4"/>
  <c r="J4" i="4"/>
  <c r="I4" i="4"/>
  <c r="H4" i="4"/>
  <c r="K3" i="4"/>
  <c r="J3" i="4"/>
  <c r="I3" i="4"/>
  <c r="H3" i="4"/>
</calcChain>
</file>

<file path=xl/sharedStrings.xml><?xml version="1.0" encoding="utf-8"?>
<sst xmlns="http://schemas.openxmlformats.org/spreadsheetml/2006/main" count="2068" uniqueCount="155">
  <si>
    <t>Note: for now, I put fixed years here. In the future, can either dynamically draw available FY from datal; or the maintainence team can easily add cells at the end</t>
    <phoneticPr fontId="1" type="noConversion"/>
  </si>
  <si>
    <t>ID #</t>
  </si>
  <si>
    <t>FISCAL YEARS</t>
  </si>
  <si>
    <t xml:space="preserve"> AGENCY NAME</t>
  </si>
  <si>
    <t>TOTAL BUDGET</t>
  </si>
  <si>
    <t>ALLOWABLE EXEMPTIONS</t>
  </si>
  <si>
    <t>REQUESTED EXEMPTIONS</t>
  </si>
  <si>
    <t>TOTAL EXEMPTIONS</t>
  </si>
  <si>
    <t>DOLLARS SUBJECT TO GOAL - DSG</t>
  </si>
  <si>
    <t>% OF BUDGET EXEMPTED</t>
  </si>
  <si>
    <t>20% GOAL</t>
  </si>
  <si>
    <t>DOLLARS ACHIEVED</t>
  </si>
  <si>
    <t>FY 2013</t>
  </si>
  <si>
    <t>STATE APPELLATE DEFENDER</t>
  </si>
  <si>
    <t>FY 2014</t>
  </si>
  <si>
    <t>FY 2015</t>
  </si>
  <si>
    <t>FY 2016</t>
  </si>
  <si>
    <t>FY 2017</t>
  </si>
  <si>
    <t>FY 2018</t>
  </si>
  <si>
    <t>FY 2019</t>
  </si>
  <si>
    <t>FY 2020</t>
  </si>
  <si>
    <t>FY 2021</t>
  </si>
  <si>
    <t>9 YEAR AVERAGE</t>
  </si>
  <si>
    <t>STATE APPELLATE PROSECUTOR</t>
  </si>
  <si>
    <t>DEPARTMENT ON AGING</t>
  </si>
  <si>
    <t>AGRICULTURE</t>
  </si>
  <si>
    <t>CENTRAL MANAGEMENT SERVICES</t>
  </si>
  <si>
    <t>CHILDREN &amp; FAMILY SERVICES</t>
  </si>
  <si>
    <t>COMMERCE &amp; ECONOMIC OPPORTUNITY</t>
  </si>
  <si>
    <t>NATURAL RESOURCES</t>
  </si>
  <si>
    <t>JUVENILE JUSTICE</t>
  </si>
  <si>
    <t>CORRECTIONS</t>
  </si>
  <si>
    <t>EMPLOYMENT SECURITY</t>
  </si>
  <si>
    <t>FINANCIAL &amp; PROFESSIONAL REGULATION</t>
  </si>
  <si>
    <t>DEPARTMENT OF HUMAN RIGHTS</t>
  </si>
  <si>
    <t>DEPARTMENT OF HUMAN SERVICES</t>
  </si>
  <si>
    <t>ILLINOIS POWER AGENCY</t>
  </si>
  <si>
    <t>DEPARTMENT OF INSURANCE</t>
  </si>
  <si>
    <t>DEPARTMENT OF INNOVATION &amp; TECHNOLOGY</t>
  </si>
  <si>
    <t xml:space="preserve"> 5 YEAR AVERAGE</t>
  </si>
  <si>
    <t>DEPARTMENT OF LABOR</t>
  </si>
  <si>
    <t>LOTTERY</t>
  </si>
  <si>
    <t>MILITARY AFFAIRS</t>
  </si>
  <si>
    <t xml:space="preserve">HEALTHCARE &amp; FAMILY SERVICES </t>
  </si>
  <si>
    <t>PUBLIC HEALTH</t>
  </si>
  <si>
    <t>REVENUE</t>
  </si>
  <si>
    <t>STATE POLICE</t>
  </si>
  <si>
    <t>DEPARTMENT OF TRANSPORTATION</t>
  </si>
  <si>
    <t>VETERANS AFFAIRS</t>
  </si>
  <si>
    <t>ILLINOIS ARTS COUNCIL</t>
  </si>
  <si>
    <t>ABRAHAM LINCOLN LIBRARY &amp; MUSEUM</t>
  </si>
  <si>
    <t>4 YEAR AVERAGE</t>
  </si>
  <si>
    <t>CAPITAL DEVELOPMENT BOARD</t>
  </si>
  <si>
    <t>CIVIL SERVICE COMMISSION</t>
  </si>
  <si>
    <t>COMMERCE COMMISSION</t>
  </si>
  <si>
    <t>COURT OF CLAIMS</t>
  </si>
  <si>
    <t>ENVIRONMENTAL PROTECTION AGENCY</t>
  </si>
  <si>
    <t>GUARDIANSHIP &amp; ADVOCACY COMMISSION</t>
  </si>
  <si>
    <t>HISTORIC PRESERVATION AGENCY</t>
  </si>
  <si>
    <t>CLOSED</t>
  </si>
  <si>
    <t>5 YEAR AVERAGE</t>
  </si>
  <si>
    <t>HUMAN RIGHTS COMMISSION</t>
  </si>
  <si>
    <t>CRIMINAL JUSTICE INFORMATION AUTH.</t>
  </si>
  <si>
    <t>EDUCATION LABOR RELATIONS BOARD</t>
  </si>
  <si>
    <t>HOUSING DEVELOPMENT AUTHORITY</t>
  </si>
  <si>
    <t>TOLLWAY AUTHORITY</t>
  </si>
  <si>
    <t>WORKERS COMPENSATION COMMISSION</t>
  </si>
  <si>
    <t>ILLINOIS GAMING BOARD</t>
  </si>
  <si>
    <t>LIQUOR CONTROL COMMISSION</t>
  </si>
  <si>
    <t>2 YEAR AVERAGE</t>
  </si>
  <si>
    <t>LAW ENFORCEMENT TRAINING &amp; STANDARDS</t>
  </si>
  <si>
    <t>PRISONER REVIEW BOARD</t>
  </si>
  <si>
    <t>RACING BOARD</t>
  </si>
  <si>
    <t>PROPERTY TAX APPEAL BOARD</t>
  </si>
  <si>
    <t>STATE BOARD OF EDUCATION</t>
  </si>
  <si>
    <t>BOARD OF ELECTIONS</t>
  </si>
  <si>
    <t>EMERGENCY MANAGEMENT AGENCY</t>
  </si>
  <si>
    <t>LABOR RELATIONS BOARD</t>
  </si>
  <si>
    <t>STATE FIRE MARSHAL</t>
  </si>
  <si>
    <t>BOARD OF HIGHER EDUCATION</t>
  </si>
  <si>
    <t xml:space="preserve"> PUBLIC INSTITUTION HIGHER EDUCATION</t>
  </si>
  <si>
    <t>CHICAGO STATE UNIVERSITY</t>
  </si>
  <si>
    <t>Not Reported</t>
  </si>
  <si>
    <t>8 YEAR AVERAGE</t>
  </si>
  <si>
    <t>EASTERN ILLINOIS UNIVERSITY</t>
  </si>
  <si>
    <t>GOVERNORS STATE UNIVERSITY</t>
  </si>
  <si>
    <t>NORTHEASTERN ILLINOIS UNIVERSITY</t>
  </si>
  <si>
    <t>WESTERN ILLINOIS UNIVERSITY</t>
  </si>
  <si>
    <t>ILLINOIS STATE UNIVERSITY</t>
  </si>
  <si>
    <t>NORTHERN ILLINOIS UNIVERSITY</t>
  </si>
  <si>
    <t>SOUTHERN ILLINOIS UNIVERSITY</t>
  </si>
  <si>
    <t>UNIVERSITY OF ILLINOIS</t>
  </si>
  <si>
    <t>COMMUNITY COLLEGE BOARD</t>
  </si>
  <si>
    <t>STUDENT ASSISTANCE COMMISSION</t>
  </si>
  <si>
    <t>MATHEMATICS &amp; SCIENCE ACADEMY</t>
  </si>
  <si>
    <t>UNIVERSITY CIVIL SERVICE SYSTEM</t>
  </si>
  <si>
    <t>COMMUNITY COLLEGE NAME</t>
  </si>
  <si>
    <t>Kaskaskia College</t>
  </si>
  <si>
    <t>College of DuPage</t>
  </si>
  <si>
    <t>Black Hawk College</t>
  </si>
  <si>
    <t>Triton College</t>
  </si>
  <si>
    <t>Parkland College</t>
  </si>
  <si>
    <t xml:space="preserve">Sauk Valley Community College </t>
  </si>
  <si>
    <t xml:space="preserve">Danville Area Community College </t>
  </si>
  <si>
    <t>City Colleges of Chicago</t>
  </si>
  <si>
    <t>Elgin Community College</t>
  </si>
  <si>
    <t>South Suburban College</t>
  </si>
  <si>
    <t>Rock Valley College</t>
  </si>
  <si>
    <t>Harper College</t>
  </si>
  <si>
    <t>Illinois Valley Community College</t>
  </si>
  <si>
    <t>Illinois Central College</t>
  </si>
  <si>
    <t>Prairie State College</t>
  </si>
  <si>
    <t>Waubonsee Community College</t>
  </si>
  <si>
    <t>Lake Land College</t>
  </si>
  <si>
    <t>Carl Sandburg College</t>
  </si>
  <si>
    <t>Highland Community College</t>
  </si>
  <si>
    <t>Kankakee Community College</t>
  </si>
  <si>
    <t>Rend Lake College</t>
  </si>
  <si>
    <t>Southwestern Illinois College</t>
  </si>
  <si>
    <t>Kishwaukee Community College</t>
  </si>
  <si>
    <t>Moraine Valley Community College</t>
  </si>
  <si>
    <t>Joliet Junior College</t>
  </si>
  <si>
    <t>Lincoln Land Community College</t>
  </si>
  <si>
    <t>Morton College</t>
  </si>
  <si>
    <t>McHenry County College</t>
  </si>
  <si>
    <t>Illinois EasternCommunity Colleges</t>
  </si>
  <si>
    <t>John A. Logan College</t>
  </si>
  <si>
    <t>Shawnee Community College</t>
  </si>
  <si>
    <t>College of Lake County</t>
  </si>
  <si>
    <t>Southeastern Illinois College</t>
  </si>
  <si>
    <t>Spoon River College</t>
  </si>
  <si>
    <t>Oakton Community College</t>
  </si>
  <si>
    <t>Lewis &amp; Clark Community College</t>
  </si>
  <si>
    <t>Richland Community College</t>
  </si>
  <si>
    <t xml:space="preserve">John Wood Community College </t>
  </si>
  <si>
    <t>Heartland Community College</t>
  </si>
  <si>
    <t>Note: Pull Available Filters will clear old filter list first</t>
    <phoneticPr fontId="1" type="noConversion"/>
  </si>
  <si>
    <t>Type</t>
    <phoneticPr fontId="1" type="noConversion"/>
  </si>
  <si>
    <t>Type
Selection</t>
    <phoneticPr fontId="1" type="noConversion"/>
  </si>
  <si>
    <t>F.Y.
Selection</t>
    <phoneticPr fontId="1" type="noConversion"/>
  </si>
  <si>
    <t>Business
Category</t>
    <phoneticPr fontId="1" type="noConversion"/>
  </si>
  <si>
    <t>B.C.
Selection</t>
    <phoneticPr fontId="1" type="noConversion"/>
  </si>
  <si>
    <t>Certification
Type</t>
    <phoneticPr fontId="1" type="noConversion"/>
  </si>
  <si>
    <t>C.T.
Selection</t>
    <phoneticPr fontId="1" type="noConversion"/>
  </si>
  <si>
    <t>Fiscal
Year</t>
    <phoneticPr fontId="1" type="noConversion"/>
  </si>
  <si>
    <t>Gross Sales</t>
    <phoneticPr fontId="1" type="noConversion"/>
  </si>
  <si>
    <t>G.S.
Selection</t>
    <phoneticPr fontId="1" type="noConversion"/>
  </si>
  <si>
    <t>Ethnicity</t>
    <phoneticPr fontId="1" type="noConversion"/>
  </si>
  <si>
    <t>Ethnicity
Selection</t>
    <phoneticPr fontId="1" type="noConversion"/>
  </si>
  <si>
    <t>Gender</t>
    <phoneticPr fontId="1" type="noConversion"/>
  </si>
  <si>
    <t>Gender
Selection</t>
    <phoneticPr fontId="1" type="noConversion"/>
  </si>
  <si>
    <t>Note: maximum 60 rows (e.g. 60 years); but can expand easily</t>
    <phoneticPr fontId="1" type="noConversion"/>
  </si>
  <si>
    <t>Agency Name</t>
    <phoneticPr fontId="1" type="noConversion"/>
  </si>
  <si>
    <t>Selection</t>
    <phoneticPr fontId="1" type="noConversion"/>
  </si>
  <si>
    <t>Achived/Goal Example summary table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</si>
</sst>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76" formatCode="0.0%"/>
  </numFmts>
  <fonts count="2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b/>
      <sz val="11"/>
      <color theme="1"/>
      <name val="等线"/>
      <scheme val="minor"/>
    </font>
    <font>
      <i/>
      <sz val="11"/>
      <color theme="1"/>
      <name val="等线"/>
      <scheme val="minor"/>
    </font>
    <font>
      <sz val="10"/>
      <name val="Arial"/>
      <family val="2"/>
    </font>
    <font>
      <b/>
      <sz val="14.3"/>
      <color indexed="18"/>
      <name val="Times New Roman"/>
      <family val="1"/>
    </font>
    <font>
      <sz val="10"/>
      <color indexed="8"/>
      <name val="Arial"/>
      <family val="2"/>
    </font>
    <font>
      <sz val="10"/>
      <color indexed="8"/>
      <name val="MS Sans Serif"/>
      <family val="2"/>
    </font>
    <font>
      <sz val="10"/>
      <color theme="1"/>
      <name val="等线"/>
      <family val="2"/>
      <scheme val="minor"/>
    </font>
    <font>
      <sz val="10"/>
      <name val="等线"/>
      <family val="2"/>
      <scheme val="minor"/>
    </font>
    <font>
      <b/>
      <sz val="10"/>
      <color theme="1"/>
      <name val="等线"/>
      <family val="2"/>
      <scheme val="minor"/>
    </font>
    <font>
      <sz val="10"/>
      <color rgb="FFFF0000"/>
      <name val="等线"/>
      <family val="2"/>
      <scheme val="minor"/>
    </font>
    <font>
      <b/>
      <sz val="10"/>
      <color rgb="FFFF0000"/>
      <name val="等线"/>
      <family val="2"/>
      <scheme val="minor"/>
    </font>
    <font>
      <b/>
      <u/>
      <sz val="10"/>
      <color theme="1"/>
      <name val="等线"/>
      <family val="2"/>
      <scheme val="minor"/>
    </font>
    <font>
      <b/>
      <u/>
      <sz val="10"/>
      <name val="等线"/>
      <family val="2"/>
      <scheme val="minor"/>
    </font>
    <font>
      <b/>
      <u/>
      <sz val="10"/>
      <color rgb="FF00B050"/>
      <name val="等线"/>
      <family val="2"/>
      <scheme val="minor"/>
    </font>
    <font>
      <b/>
      <sz val="10"/>
      <color rgb="FF00B050"/>
      <name val="等线"/>
      <family val="2"/>
      <scheme val="minor"/>
    </font>
    <font>
      <b/>
      <sz val="10"/>
      <color theme="0"/>
      <name val="等线"/>
      <family val="2"/>
      <scheme val="minor"/>
    </font>
    <font>
      <b/>
      <u/>
      <sz val="10"/>
      <color theme="0"/>
      <name val="等线"/>
      <family val="2"/>
      <scheme val="minor"/>
    </font>
    <font>
      <sz val="11"/>
      <color theme="1"/>
      <name val="等线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</fills>
  <borders count="2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/>
      <top style="thin">
        <color theme="0" tint="-0.249977111117893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 style="thin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</borders>
  <cellStyleXfs count="111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>
      <alignment vertical="top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>
      <alignment vertical="top"/>
    </xf>
    <xf numFmtId="0" fontId="5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8" fillId="0" borderId="0"/>
    <xf numFmtId="0" fontId="7" fillId="0" borderId="0">
      <alignment vertical="top"/>
    </xf>
    <xf numFmtId="0" fontId="2" fillId="0" borderId="0"/>
    <xf numFmtId="0" fontId="2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2" fillId="0" borderId="0"/>
    <xf numFmtId="0" fontId="2" fillId="2" borderId="1" applyNumberFormat="0" applyFont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88"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3" fontId="15" fillId="4" borderId="0" xfId="14" applyNumberFormat="1" applyFont="1" applyFill="1" applyBorder="1" applyAlignment="1">
      <alignment horizontal="right" vertical="center"/>
    </xf>
    <xf numFmtId="3" fontId="9" fillId="4" borderId="0" xfId="0" applyNumberFormat="1" applyFont="1" applyFill="1" applyAlignment="1">
      <alignment vertical="center"/>
    </xf>
    <xf numFmtId="3" fontId="9" fillId="4" borderId="0" xfId="0" applyNumberFormat="1" applyFont="1" applyFill="1" applyAlignment="1">
      <alignment horizontal="right" vertical="center"/>
    </xf>
    <xf numFmtId="176" fontId="9" fillId="4" borderId="0" xfId="0" applyNumberFormat="1" applyFont="1" applyFill="1" applyAlignment="1">
      <alignment horizontal="center" vertical="center"/>
    </xf>
    <xf numFmtId="3" fontId="10" fillId="4" borderId="0" xfId="0" applyNumberFormat="1" applyFont="1" applyFill="1" applyAlignment="1">
      <alignment vertical="center"/>
    </xf>
    <xf numFmtId="3" fontId="10" fillId="4" borderId="0" xfId="0" quotePrefix="1" applyNumberFormat="1" applyFont="1" applyFill="1" applyAlignment="1">
      <alignment vertical="center"/>
    </xf>
    <xf numFmtId="3" fontId="10" fillId="4" borderId="0" xfId="2" applyNumberFormat="1" applyFont="1" applyFill="1" applyBorder="1" applyAlignment="1">
      <alignment horizontal="right" vertical="center"/>
    </xf>
    <xf numFmtId="3" fontId="10" fillId="4" borderId="0" xfId="0" applyNumberFormat="1" applyFont="1" applyFill="1" applyAlignment="1">
      <alignment horizontal="right" vertical="center"/>
    </xf>
    <xf numFmtId="3" fontId="11" fillId="4" borderId="0" xfId="0" applyNumberFormat="1" applyFont="1" applyFill="1" applyAlignment="1">
      <alignment horizontal="right" vertical="center"/>
    </xf>
    <xf numFmtId="0" fontId="9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10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vertical="center"/>
    </xf>
    <xf numFmtId="3" fontId="13" fillId="4" borderId="0" xfId="0" applyNumberFormat="1" applyFont="1" applyFill="1" applyAlignment="1">
      <alignment horizontal="right" vertical="center"/>
    </xf>
    <xf numFmtId="3" fontId="14" fillId="4" borderId="0" xfId="0" applyNumberFormat="1" applyFont="1" applyFill="1" applyAlignment="1">
      <alignment vertical="center"/>
    </xf>
    <xf numFmtId="3" fontId="16" fillId="4" borderId="0" xfId="0" applyNumberFormat="1" applyFont="1" applyFill="1" applyAlignment="1">
      <alignment horizontal="right" vertical="center"/>
    </xf>
    <xf numFmtId="38" fontId="10" fillId="4" borderId="0" xfId="0" applyNumberFormat="1" applyFont="1" applyFill="1" applyAlignment="1">
      <alignment horizontal="right" vertical="center"/>
    </xf>
    <xf numFmtId="0" fontId="9" fillId="4" borderId="0" xfId="0" applyFont="1" applyFill="1" applyAlignment="1">
      <alignment horizontal="left" vertical="center"/>
    </xf>
    <xf numFmtId="3" fontId="17" fillId="4" borderId="0" xfId="0" applyNumberFormat="1" applyFont="1" applyFill="1" applyAlignment="1">
      <alignment horizontal="right" vertical="center"/>
    </xf>
    <xf numFmtId="0" fontId="11" fillId="4" borderId="0" xfId="0" applyFont="1" applyFill="1" applyAlignment="1">
      <alignment vertical="center"/>
    </xf>
    <xf numFmtId="0" fontId="11" fillId="4" borderId="0" xfId="0" applyFont="1" applyFill="1" applyAlignment="1">
      <alignment horizontal="center" vertical="center" wrapText="1"/>
    </xf>
    <xf numFmtId="3" fontId="15" fillId="4" borderId="0" xfId="0" applyNumberFormat="1" applyFont="1" applyFill="1" applyAlignment="1">
      <alignment vertical="center"/>
    </xf>
    <xf numFmtId="0" fontId="11" fillId="4" borderId="0" xfId="0" applyFont="1" applyFill="1" applyAlignment="1">
      <alignment horizontal="center" vertical="center"/>
    </xf>
    <xf numFmtId="0" fontId="17" fillId="4" borderId="0" xfId="0" applyFont="1" applyFill="1" applyAlignment="1">
      <alignment horizontal="right" vertical="center"/>
    </xf>
    <xf numFmtId="176" fontId="17" fillId="4" borderId="0" xfId="0" applyNumberFormat="1" applyFont="1" applyFill="1" applyAlignment="1">
      <alignment horizontal="center" vertical="center"/>
    </xf>
    <xf numFmtId="9" fontId="17" fillId="4" borderId="0" xfId="0" applyNumberFormat="1" applyFont="1" applyFill="1" applyAlignment="1">
      <alignment horizontal="center" vertical="center"/>
    </xf>
    <xf numFmtId="0" fontId="18" fillId="5" borderId="0" xfId="0" applyFont="1" applyFill="1" applyAlignment="1">
      <alignment horizontal="center" vertical="center" wrapText="1"/>
    </xf>
    <xf numFmtId="3" fontId="18" fillId="5" borderId="0" xfId="0" applyNumberFormat="1" applyFont="1" applyFill="1" applyAlignment="1">
      <alignment horizontal="right" vertical="center" wrapText="1"/>
    </xf>
    <xf numFmtId="3" fontId="18" fillId="5" borderId="0" xfId="0" applyNumberFormat="1" applyFont="1" applyFill="1" applyAlignment="1">
      <alignment horizontal="center" vertical="center" wrapText="1"/>
    </xf>
    <xf numFmtId="176" fontId="18" fillId="5" borderId="0" xfId="0" applyNumberFormat="1" applyFont="1" applyFill="1" applyAlignment="1">
      <alignment horizontal="center" vertical="center" wrapText="1"/>
    </xf>
    <xf numFmtId="3" fontId="19" fillId="5" borderId="0" xfId="0" applyNumberFormat="1" applyFont="1" applyFill="1" applyAlignment="1">
      <alignment horizontal="right" vertical="center" wrapText="1"/>
    </xf>
    <xf numFmtId="3" fontId="19" fillId="5" borderId="0" xfId="0" applyNumberFormat="1" applyFont="1" applyFill="1" applyAlignment="1">
      <alignment horizontal="center" vertical="center" wrapText="1"/>
    </xf>
    <xf numFmtId="3" fontId="18" fillId="5" borderId="0" xfId="0" applyNumberFormat="1" applyFont="1" applyFill="1" applyAlignment="1">
      <alignment vertical="center" wrapText="1"/>
    </xf>
    <xf numFmtId="0" fontId="18" fillId="5" borderId="0" xfId="0" applyFont="1" applyFill="1" applyAlignment="1">
      <alignment horizontal="left" vertical="center" wrapText="1"/>
    </xf>
    <xf numFmtId="3" fontId="19" fillId="4" borderId="0" xfId="0" applyNumberFormat="1" applyFont="1" applyFill="1" applyAlignment="1">
      <alignment horizontal="center" vertical="center" wrapText="1"/>
    </xf>
    <xf numFmtId="3" fontId="18" fillId="4" borderId="0" xfId="0" applyNumberFormat="1" applyFont="1" applyFill="1" applyAlignment="1">
      <alignment horizontal="center" vertical="center" wrapText="1"/>
    </xf>
    <xf numFmtId="176" fontId="18" fillId="4" borderId="0" xfId="0" applyNumberFormat="1" applyFont="1" applyFill="1" applyAlignment="1">
      <alignment horizontal="center" vertical="center" wrapText="1"/>
    </xf>
    <xf numFmtId="10" fontId="18" fillId="4" borderId="0" xfId="0" applyNumberFormat="1" applyFont="1" applyFill="1" applyAlignment="1">
      <alignment horizontal="center" vertical="center" wrapText="1"/>
    </xf>
    <xf numFmtId="0" fontId="18" fillId="4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3" fontId="9" fillId="5" borderId="0" xfId="0" applyNumberFormat="1" applyFont="1" applyFill="1" applyAlignment="1">
      <alignment horizontal="right" vertical="center"/>
    </xf>
    <xf numFmtId="3" fontId="9" fillId="5" borderId="0" xfId="0" applyNumberFormat="1" applyFont="1" applyFill="1" applyAlignment="1">
      <alignment vertical="center"/>
    </xf>
    <xf numFmtId="176" fontId="9" fillId="5" borderId="0" xfId="0" applyNumberFormat="1" applyFont="1" applyFill="1" applyAlignment="1">
      <alignment horizontal="center" vertical="center"/>
    </xf>
    <xf numFmtId="3" fontId="14" fillId="5" borderId="0" xfId="0" applyNumberFormat="1" applyFont="1" applyFill="1" applyAlignment="1">
      <alignment vertical="center"/>
    </xf>
    <xf numFmtId="3" fontId="10" fillId="4" borderId="0" xfId="14" applyNumberFormat="1" applyFont="1" applyFill="1" applyBorder="1" applyAlignment="1">
      <alignment horizontal="right" vertical="center"/>
    </xf>
    <xf numFmtId="3" fontId="10" fillId="4" borderId="0" xfId="14" applyNumberFormat="1" applyFont="1" applyFill="1" applyBorder="1" applyAlignment="1">
      <alignment vertical="center"/>
    </xf>
    <xf numFmtId="3" fontId="9" fillId="4" borderId="0" xfId="9" applyNumberFormat="1" applyFont="1" applyFill="1" applyBorder="1" applyAlignment="1">
      <alignment horizontal="right"/>
    </xf>
    <xf numFmtId="0" fontId="0" fillId="0" borderId="0" xfId="0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20" fillId="0" borderId="9" xfId="0" applyFont="1" applyBorder="1" applyAlignment="1">
      <alignment horizontal="center" wrapText="1"/>
    </xf>
    <xf numFmtId="0" fontId="0" fillId="3" borderId="10" xfId="0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10" fontId="0" fillId="0" borderId="3" xfId="0" applyNumberFormat="1" applyBorder="1"/>
    <xf numFmtId="10" fontId="0" fillId="0" borderId="21" xfId="0" applyNumberFormat="1" applyBorder="1"/>
    <xf numFmtId="10" fontId="0" fillId="0" borderId="23" xfId="0" applyNumberFormat="1" applyBorder="1"/>
    <xf numFmtId="0" fontId="3" fillId="0" borderId="2" xfId="0" applyFont="1" applyBorder="1" applyAlignment="1">
      <alignment horizontal="center"/>
    </xf>
    <xf numFmtId="0" fontId="0" fillId="0" borderId="20" xfId="0" applyBorder="1"/>
    <xf numFmtId="0" fontId="0" fillId="0" borderId="22" xfId="0" applyBorder="1"/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8" fontId="0" fillId="0" borderId="0" xfId="0" applyNumberFormat="1"/>
    <xf numFmtId="10" fontId="0" fillId="0" borderId="0" xfId="0" applyNumberFormat="1"/>
    <xf numFmtId="0" fontId="20" fillId="0" borderId="0" xfId="0" applyFont="1" applyAlignment="1">
      <alignment horizontal="center" wrapText="1"/>
    </xf>
    <xf numFmtId="0" fontId="20" fillId="0" borderId="2" xfId="0" applyFont="1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17" xfId="0" applyBorder="1"/>
    <xf numFmtId="10" fontId="0" fillId="0" borderId="18" xfId="0" applyNumberFormat="1" applyBorder="1"/>
    <xf numFmtId="10" fontId="0" fillId="0" borderId="19" xfId="0" applyNumberFormat="1" applyBorder="1"/>
    <xf numFmtId="10" fontId="0" fillId="0" borderId="4" xfId="0" applyNumberFormat="1" applyBorder="1"/>
    <xf numFmtId="0" fontId="4" fillId="0" borderId="0" xfId="0" applyFont="1" applyAlignment="1">
      <alignment horizontal="center" wrapText="1"/>
    </xf>
  </cellXfs>
  <cellStyles count="111">
    <cellStyle name="Comma 2" xfId="9" xr:uid="{B67C94B5-91BF-483C-AB8F-F0FA23849A18}"/>
    <cellStyle name="Comma 2 2" xfId="10" xr:uid="{951FA195-B014-4699-B88C-C08669FF0D9F}"/>
    <cellStyle name="Comma 3" xfId="11" xr:uid="{A65D1FD8-4838-4F1D-B265-2939C94BA095}"/>
    <cellStyle name="Comma 4" xfId="12" xr:uid="{C32573D2-073A-457B-8242-C3AEA50AAFAC}"/>
    <cellStyle name="Comma 5" xfId="13" xr:uid="{E8A5DC24-E867-4BEB-B7E4-E7C7877859E5}"/>
    <cellStyle name="Comma 6" xfId="110" xr:uid="{4BB63063-132A-4980-8FCE-92C40BFEE388}"/>
    <cellStyle name="Currency 10" xfId="62" xr:uid="{1712486A-16AE-4AEA-9F3C-C661545094EF}"/>
    <cellStyle name="Currency 11" xfId="64" xr:uid="{A57FCD6F-E272-44C0-AB2B-60F27BD03F7A}"/>
    <cellStyle name="Currency 12" xfId="66" xr:uid="{89DBE193-D560-4BD7-AF89-B3CC9FE4D9D2}"/>
    <cellStyle name="Currency 13" xfId="67" xr:uid="{0F6F811D-C7BF-46D5-A4CD-CC27A5C17E3C}"/>
    <cellStyle name="Currency 14" xfId="100" xr:uid="{8B032B1D-1030-4727-84E3-7BBA6E8BDB8B}"/>
    <cellStyle name="Currency 15" xfId="94" xr:uid="{EFC98A8A-14C7-465D-A9F7-0AD2FFE588FA}"/>
    <cellStyle name="Currency 16" xfId="96" xr:uid="{47D546CB-0751-4B60-9F86-54A5144A25EF}"/>
    <cellStyle name="Currency 18" xfId="88" xr:uid="{282DB62C-B95D-4197-A1DF-B7246E58D285}"/>
    <cellStyle name="Currency 19" xfId="90" xr:uid="{A353F10A-79F9-4FD5-8027-DA5435025CF6}"/>
    <cellStyle name="Currency 2" xfId="3" xr:uid="{25AF8406-9169-4127-BF3D-53EF87F9A823}"/>
    <cellStyle name="Currency 2 10" xfId="60" xr:uid="{1579D91B-6B50-4BBC-ADBF-AF40DD9A2EB3}"/>
    <cellStyle name="Currency 2 14" xfId="101" xr:uid="{3B7E5606-EB73-4731-9F25-72EB646C9247}"/>
    <cellStyle name="Currency 2 15" xfId="95" xr:uid="{F72FA57E-245F-4D30-939F-727025602209}"/>
    <cellStyle name="Currency 2 16" xfId="97" xr:uid="{DB403686-C2D5-4E7C-B32F-E0DDEAFCAD05}"/>
    <cellStyle name="Currency 2 17" xfId="99" xr:uid="{BA10D770-0D52-4FE9-8A59-082B4DA5B079}"/>
    <cellStyle name="Currency 2 2" xfId="14" xr:uid="{33D7BF4A-E9AC-415D-82BC-0AA68CDAF939}"/>
    <cellStyle name="Currency 2 2 2" xfId="15" xr:uid="{DC69368C-3BF4-4821-A2A8-65C423B42D0A}"/>
    <cellStyle name="Currency 2 22" xfId="77" xr:uid="{3B6002A4-B9FF-42B1-B50E-49F65F7C3D89}"/>
    <cellStyle name="Currency 2 23" xfId="74" xr:uid="{848FB9BA-A95B-4814-ABF0-9FBCF49652C2}"/>
    <cellStyle name="Currency 2 24" xfId="71" xr:uid="{98C843C2-9258-4468-8CD3-F46E2DC25789}"/>
    <cellStyle name="Currency 2 25" xfId="70" xr:uid="{3D22ECCB-F39E-4AF8-894C-0A6311CDB923}"/>
    <cellStyle name="Currency 2 26" xfId="78" xr:uid="{AC5729BE-A1A9-4BBA-8213-23A82D7F2E20}"/>
    <cellStyle name="Currency 2 27" xfId="81" xr:uid="{D3416632-DE6D-413F-9DE6-0020ACF25D4A}"/>
    <cellStyle name="Currency 2 28" xfId="86" xr:uid="{4721234F-248B-4186-87DB-5F64CBBB743D}"/>
    <cellStyle name="Currency 2 3" xfId="16" xr:uid="{EB958434-C884-40D2-85E1-B6739D03916A}"/>
    <cellStyle name="Currency 2 4" xfId="17" xr:uid="{C3AC30FA-CE44-4A13-BC94-EAED523B0FA8}"/>
    <cellStyle name="Currency 2 5" xfId="18" xr:uid="{4A9FD2D7-AB92-491E-832E-83E55E797949}"/>
    <cellStyle name="Currency 2 5 2" xfId="19" xr:uid="{A49A065B-0EF4-49BE-8B4C-609763134EAA}"/>
    <cellStyle name="Currency 2 6" xfId="52" xr:uid="{BFE0EA32-54EA-49FA-9680-B43F470FED4D}"/>
    <cellStyle name="Currency 2 7" xfId="54" xr:uid="{22F58A37-F1DB-403F-A7F2-2459DCF3645B}"/>
    <cellStyle name="Currency 2 9" xfId="58" xr:uid="{BEEBB2FC-E4E9-41D8-89DA-CFBC73D0DC15}"/>
    <cellStyle name="Currency 20" xfId="92" xr:uid="{B1A2FC9C-E1B5-4425-B4A0-B4561CDB1A36}"/>
    <cellStyle name="Currency 22" xfId="75" xr:uid="{3A005344-859D-41DA-B3EF-064601745C5D}"/>
    <cellStyle name="Currency 23" xfId="73" xr:uid="{65E4E474-055E-4B8D-8C34-5E50C5955F45}"/>
    <cellStyle name="Currency 24" xfId="72" xr:uid="{A03D83A6-E102-4FC9-A5DD-1CD6878D1528}"/>
    <cellStyle name="Currency 25" xfId="68" xr:uid="{58E5FB6F-954E-49F1-91E1-A062C7A6A6C5}"/>
    <cellStyle name="Currency 26" xfId="79" xr:uid="{628B90D6-A731-4B27-9514-08F81FBD02CA}"/>
    <cellStyle name="Currency 27" xfId="82" xr:uid="{1B3A4953-9886-4D55-B51B-39E13E900E5E}"/>
    <cellStyle name="Currency 28" xfId="87" xr:uid="{C2936BF2-2E53-4DC9-9936-142EA40CB0CC}"/>
    <cellStyle name="Currency 29" xfId="85" xr:uid="{47F5ECA2-00AB-4712-81EF-BCCAAC6656FA}"/>
    <cellStyle name="Currency 3" xfId="6" xr:uid="{65E525E3-41EC-4CF7-85D8-A514B7C968D9}"/>
    <cellStyle name="Currency 30" xfId="109" xr:uid="{14E62F08-392B-4606-891B-8A5FA61014C2}"/>
    <cellStyle name="Currency 4" xfId="50" xr:uid="{509C25D6-C6DA-4918-B182-514D819C21A5}"/>
    <cellStyle name="Currency 5" xfId="105" xr:uid="{0749B4C7-33BB-4547-ADC9-1D40926D912A}"/>
    <cellStyle name="Currency 6" xfId="1" xr:uid="{ECDF93DC-9813-4F65-94D9-483DE9B97485}"/>
    <cellStyle name="Currency 8" xfId="56" xr:uid="{C5ABEC8C-09CC-4867-A443-3BE4B32B0AF2}"/>
    <cellStyle name="Normal" xfId="0" builtinId="0"/>
    <cellStyle name="Normal 10" xfId="20" xr:uid="{7ADA80CA-7D77-484F-BD20-613FE81DA009}"/>
    <cellStyle name="Normal 10 2" xfId="21" xr:uid="{A88D689D-9EF3-4DEA-9831-7883111943EC}"/>
    <cellStyle name="Normal 19" xfId="108" xr:uid="{4A7B4DA2-D5A2-40DD-80CD-E695410D6FF3}"/>
    <cellStyle name="Normal 2" xfId="5" xr:uid="{2F7DF946-4B6E-4608-A84F-C12B517CC6D3}"/>
    <cellStyle name="Normal 2 2" xfId="22" xr:uid="{F9D1B65B-315A-4400-BF7A-E5ECF264B2C6}"/>
    <cellStyle name="Normal 2 2 2" xfId="4" xr:uid="{2C003D86-83FC-45A7-9337-2281539D684B}"/>
    <cellStyle name="Normal 2 3" xfId="23" xr:uid="{BE32E1DC-70F6-4D6E-8F8B-CAFD51B741DA}"/>
    <cellStyle name="Normal 2 3 2" xfId="24" xr:uid="{918F0AA0-0FCC-449B-B11C-AF8BA6DC1326}"/>
    <cellStyle name="Normal 2 4" xfId="25" xr:uid="{60057ED6-51F6-4995-B7AC-95A7AC86AA93}"/>
    <cellStyle name="Normal 2 5" xfId="26" xr:uid="{E459B569-7B94-490F-A7E6-7DD9F9A76E02}"/>
    <cellStyle name="Normal 2 6" xfId="27" xr:uid="{0655E99D-3496-47C3-A945-88CBB7401797}"/>
    <cellStyle name="Normal 2 6 2" xfId="28" xr:uid="{11186275-2F51-49D2-AB0D-DF24A3AF6A7E}"/>
    <cellStyle name="Normal 2 6 2 2" xfId="29" xr:uid="{E37D36C5-9786-4A0D-AEF8-8538B3135874}"/>
    <cellStyle name="Normal 2 6 2 2 2" xfId="30" xr:uid="{88BCAA03-FE1F-4C29-8900-D15EE102393D}"/>
    <cellStyle name="Normal 2 6 2 2 2 2" xfId="31" xr:uid="{9624931B-68C8-44CF-B462-B7FFB14EE09E}"/>
    <cellStyle name="Normal 2 6 2 2 2 2 2" xfId="32" xr:uid="{C6A63C97-6522-46EA-A4D2-6B83137B6B42}"/>
    <cellStyle name="Normal 2 6 2 3" xfId="33" xr:uid="{05F46022-6999-44BD-8820-4A385EE0DF9F}"/>
    <cellStyle name="Normal 2 6 2 4" xfId="34" xr:uid="{C7C9F4D1-8C6A-4DD7-8563-2B62EE703183}"/>
    <cellStyle name="Normal 2 6 2 4 2" xfId="35" xr:uid="{E251A142-E0D6-4459-864C-86F875EF3479}"/>
    <cellStyle name="Normal 2 6 2 4 2 2" xfId="36" xr:uid="{910016BA-FD05-4765-8E34-7563DFCA0F0D}"/>
    <cellStyle name="Normal 2 6 2 4 3" xfId="37" xr:uid="{F5036235-0C0E-49C9-8C48-3706268B8378}"/>
    <cellStyle name="Normal 2 7" xfId="38" xr:uid="{64B4AACA-E7B5-4FB9-97EE-1997DA8FA02E}"/>
    <cellStyle name="Normal 2_557 - ITHA" xfId="103" xr:uid="{0C393E9F-E5C6-4DC5-9D38-0D7C1CC5DD70}"/>
    <cellStyle name="Normal 20" xfId="107" xr:uid="{CC819ED9-8455-4809-BBEF-785D5EEDEEF1}"/>
    <cellStyle name="Normal 21" xfId="102" xr:uid="{DC2248E2-DCA8-4E5A-B7A8-BD1D6DA9DB3E}"/>
    <cellStyle name="Normal 3" xfId="39" xr:uid="{745A0375-0D0A-4C67-AF5D-FF9C6FF0BC20}"/>
    <cellStyle name="Normal 4" xfId="40" xr:uid="{E8BD7948-C176-45BC-8A17-3974EA65BFF8}"/>
    <cellStyle name="Normal 4 2" xfId="41" xr:uid="{7D64886A-A6E6-4697-A534-AD8CF57EC0EA}"/>
    <cellStyle name="Normal 4 2 2" xfId="42" xr:uid="{9EC0BF5A-0704-4780-BDD6-59F661306567}"/>
    <cellStyle name="Normal 4 3" xfId="43" xr:uid="{1888DED4-6958-43CC-9460-503EC8D3EAE7}"/>
    <cellStyle name="Normal 4 4" xfId="44" xr:uid="{57C7ACC9-0A65-47FB-BEFD-97FB2E23B70B}"/>
    <cellStyle name="Normal 5" xfId="45" xr:uid="{7BBD6A94-0D20-4986-9B7F-B0C6BE5CD0ED}"/>
    <cellStyle name="Normal 6" xfId="46" xr:uid="{304740E6-C054-46EA-9A6B-9B94E762FB22}"/>
    <cellStyle name="Normal 7" xfId="47" xr:uid="{F681719C-531E-4031-9341-CDE685411EF7}"/>
    <cellStyle name="Normal 8" xfId="48" xr:uid="{FD6B8BD2-A7D5-47CC-9F52-AF4A3BF50445}"/>
    <cellStyle name="Normal 9" xfId="49" xr:uid="{D2F26C69-7EB4-46D4-94BF-9557BFE56ACD}"/>
    <cellStyle name="Note 2" xfId="104" xr:uid="{7CF68537-784D-44E3-A14B-76C6D227984F}"/>
    <cellStyle name="Percent 10" xfId="61" xr:uid="{4B1AAB56-E4A3-4E9D-BAF6-8D04C2E90E8D}"/>
    <cellStyle name="Percent 11" xfId="63" xr:uid="{21DE4C28-EF5E-4ADA-B933-67203143AF2F}"/>
    <cellStyle name="Percent 12" xfId="65" xr:uid="{B2227DDC-B67B-478F-AA26-6C32ECA3720E}"/>
    <cellStyle name="Percent 17" xfId="98" xr:uid="{1AADF901-2AE7-4F79-8808-3839C48367AA}"/>
    <cellStyle name="Percent 18" xfId="89" xr:uid="{21838526-77BF-4164-8704-2B9F385AA68F}"/>
    <cellStyle name="Percent 19" xfId="91" xr:uid="{AC1924F5-4E75-484E-B93F-FECCE77EE0FF}"/>
    <cellStyle name="Percent 2" xfId="7" xr:uid="{B823E384-56CD-4241-ACCF-ED1CF0FE71B7}"/>
    <cellStyle name="Percent 2 2" xfId="106" xr:uid="{31DDCFC4-7F14-4712-9679-27AA42C30963}"/>
    <cellStyle name="Percent 20" xfId="93" xr:uid="{2404A5B9-1300-4E40-A4EB-16BEFDFAEAFE}"/>
    <cellStyle name="Percent 22" xfId="76" xr:uid="{F896EF1F-0E77-4953-9E99-27712D822D75}"/>
    <cellStyle name="Percent 25" xfId="69" xr:uid="{7E7837E1-D987-4342-A7C8-E3B2173C3CF5}"/>
    <cellStyle name="Percent 26" xfId="80" xr:uid="{4C9CAD63-14EF-4A97-9BC6-42B3415792E2}"/>
    <cellStyle name="Percent 27" xfId="83" xr:uid="{F968F2CE-CAFA-4524-B4B7-3DE514030297}"/>
    <cellStyle name="Percent 29" xfId="84" xr:uid="{5C00FB5C-3938-4034-A20D-FCB924FDE828}"/>
    <cellStyle name="Percent 3" xfId="8" xr:uid="{198A3C4A-01B9-4340-9AB2-59690E69D885}"/>
    <cellStyle name="Percent 4" xfId="2" xr:uid="{AAD8D2D3-5DC7-4629-A3BC-7D21D50AEA2C}"/>
    <cellStyle name="Percent 5" xfId="51" xr:uid="{1F19BD1F-B87C-4E15-A696-A86B253BE098}"/>
    <cellStyle name="Percent 6" xfId="53" xr:uid="{4DC4EC4A-8905-45FE-ABF2-BC3F9CA721DE}"/>
    <cellStyle name="Percent 7" xfId="55" xr:uid="{2226EA34-9439-43AB-BBD8-859787E7F9C7}"/>
    <cellStyle name="Percent 8" xfId="57" xr:uid="{A8F85D07-9495-4FBD-8C29-2D2FE41388BA}"/>
    <cellStyle name="Percent 9" xfId="59" xr:uid="{02B2F0AB-BD7A-45CD-8C9F-3FC5BBDEF1E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Achieved</a:t>
            </a:r>
            <a:r>
              <a:rPr lang="en-US" altLang="zh-CN" baseline="0"/>
              <a:t> / Goal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Summary!$B$18</c:f>
              <c:strCache>
                <c:ptCount val="1"/>
                <c:pt idx="0">
                  <c:v>STATE APPELLATE DEFENDER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Summary!$C$17:$K$17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Summary!$C$18:$K$18</c:f>
              <c:numCache>
                <c:formatCode>0.00%</c:formatCode>
                <c:ptCount val="9"/>
                <c:pt idx="0">
                  <c:v>1.5873164676896536</c:v>
                </c:pt>
                <c:pt idx="1">
                  <c:v>1.8709264471084892</c:v>
                </c:pt>
                <c:pt idx="2">
                  <c:v>0.81015466227873589</c:v>
                </c:pt>
                <c:pt idx="3">
                  <c:v>0.36832101088338781</c:v>
                </c:pt>
                <c:pt idx="4">
                  <c:v>0.59966730574038574</c:v>
                </c:pt>
                <c:pt idx="5">
                  <c:v>0.30467166704970433</c:v>
                </c:pt>
                <c:pt idx="6">
                  <c:v>0.17448053681040071</c:v>
                </c:pt>
                <c:pt idx="7">
                  <c:v>0.30829298186069309</c:v>
                </c:pt>
                <c:pt idx="8">
                  <c:v>0.30871953542488229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2A-4D40-B467-5B472C6539B9}"/>
            </c:ext>
          </c:extLst>
        </c:ser>
        <c:ser>
          <c:idx val="1"/>
          <c:order val="1"/>
          <c:tx>
            <c:strRef>
              <c:f>Summary!$B$19</c:f>
              <c:strCache>
                <c:ptCount val="1"/>
                <c:pt idx="0">
                  <c:v>STATE APPELLATE PROSECUTOR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Summary!$C$17:$K$17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Summary!$C$19:$K$19</c:f>
              <c:numCache>
                <c:formatCode>0.00%</c:formatCode>
                <c:ptCount val="9"/>
                <c:pt idx="0">
                  <c:v>3.3962558411214956</c:v>
                </c:pt>
                <c:pt idx="1">
                  <c:v>1.3872331081081077</c:v>
                </c:pt>
                <c:pt idx="2">
                  <c:v>2.6209652126185934</c:v>
                </c:pt>
                <c:pt idx="3">
                  <c:v>0.77996082474226802</c:v>
                </c:pt>
                <c:pt idx="4">
                  <c:v>1.5905898876404494</c:v>
                </c:pt>
                <c:pt idx="5">
                  <c:v>1.2998224852071005</c:v>
                </c:pt>
                <c:pt idx="6">
                  <c:v>2.1497969543147208</c:v>
                </c:pt>
                <c:pt idx="7">
                  <c:v>3.37990505913272</c:v>
                </c:pt>
                <c:pt idx="8">
                  <c:v>0.35847583834909719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2A-4D40-B467-5B472C6539B9}"/>
            </c:ext>
          </c:extLst>
        </c:ser>
        <c:ser>
          <c:idx val="2"/>
          <c:order val="2"/>
          <c:tx>
            <c:strRef>
              <c:f>Summary!$B$20</c:f>
              <c:strCache>
                <c:ptCount val="1"/>
                <c:pt idx="0">
                  <c:v>DEPARTMENT ON AGING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Summary!$C$17:$K$17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Summary!$C$20:$K$20</c:f>
              <c:numCache>
                <c:formatCode>0.00%</c:formatCode>
                <c:ptCount val="9"/>
                <c:pt idx="0">
                  <c:v>7.355595349917424</c:v>
                </c:pt>
                <c:pt idx="1">
                  <c:v>3.0244231263383297</c:v>
                </c:pt>
                <c:pt idx="2">
                  <c:v>0.57509052648951975</c:v>
                </c:pt>
                <c:pt idx="3">
                  <c:v>0.64058979756014234</c:v>
                </c:pt>
                <c:pt idx="4">
                  <c:v>9.9173798635771409</c:v>
                </c:pt>
                <c:pt idx="5">
                  <c:v>48.403694714131611</c:v>
                </c:pt>
                <c:pt idx="6">
                  <c:v>30.446283161028219</c:v>
                </c:pt>
                <c:pt idx="7">
                  <c:v>16.115175690336219</c:v>
                </c:pt>
                <c:pt idx="8">
                  <c:v>27.757201152733693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2A-4D40-B467-5B472C6539B9}"/>
            </c:ext>
          </c:extLst>
        </c:ser>
        <c:ser>
          <c:idx val="3"/>
          <c:order val="3"/>
          <c:tx>
            <c:strRef>
              <c:f>Summary!$B$21</c:f>
              <c:strCache>
                <c:ptCount val="1"/>
                <c:pt idx="0">
                  <c:v>AGRICULTURE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Summary!$C$17:$K$17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Summary!$C$21:$K$21</c:f>
              <c:numCache>
                <c:formatCode>0.00%</c:formatCode>
                <c:ptCount val="9"/>
                <c:pt idx="0">
                  <c:v>0.60376087149154356</c:v>
                </c:pt>
                <c:pt idx="1">
                  <c:v>1.0784321205624567</c:v>
                </c:pt>
                <c:pt idx="2">
                  <c:v>0.16063119559286024</c:v>
                </c:pt>
                <c:pt idx="3">
                  <c:v>0.71403327309648446</c:v>
                </c:pt>
                <c:pt idx="4">
                  <c:v>1.8670869899388958</c:v>
                </c:pt>
                <c:pt idx="5">
                  <c:v>0.99488165189826716</c:v>
                </c:pt>
                <c:pt idx="6">
                  <c:v>1.642644707930506</c:v>
                </c:pt>
                <c:pt idx="7">
                  <c:v>0.27736046789617486</c:v>
                </c:pt>
                <c:pt idx="8">
                  <c:v>0.29139853495793444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2A-4D40-B467-5B472C653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2337375"/>
        <c:axId val="2082334495"/>
      </c:lineChart>
      <c:catAx>
        <c:axId val="2082337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82334495"/>
        <c:crosses val="autoZero"/>
        <c:auto val="1"/>
        <c:lblAlgn val="ctr"/>
        <c:lblOffset val="100"/>
        <c:noMultiLvlLbl val="0"/>
      </c:catAx>
      <c:valAx>
        <c:axId val="208233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82337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585788</xdr:colOff>
          <xdr:row>0</xdr:row>
          <xdr:rowOff>185738</xdr:rowOff>
        </xdr:from>
        <xdr:to>
          <xdr:col>14</xdr:col>
          <xdr:colOff>619125</xdr:colOff>
          <xdr:row>0</xdr:row>
          <xdr:rowOff>481013</xdr:rowOff>
        </xdr:to>
        <xdr:sp macro="" textlink="">
          <xdr:nvSpPr>
            <xdr:cNvPr id="1027" name="Input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214313</xdr:colOff>
          <xdr:row>0</xdr:row>
          <xdr:rowOff>147638</xdr:rowOff>
        </xdr:from>
        <xdr:to>
          <xdr:col>3</xdr:col>
          <xdr:colOff>14288</xdr:colOff>
          <xdr:row>0</xdr:row>
          <xdr:rowOff>500063</xdr:rowOff>
        </xdr:to>
        <xdr:sp macro="" textlink="">
          <xdr:nvSpPr>
            <xdr:cNvPr id="1029" name="Input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233363</xdr:colOff>
          <xdr:row>0</xdr:row>
          <xdr:rowOff>152400</xdr:rowOff>
        </xdr:from>
        <xdr:to>
          <xdr:col>5</xdr:col>
          <xdr:colOff>419100</xdr:colOff>
          <xdr:row>1</xdr:row>
          <xdr:rowOff>4763</xdr:rowOff>
        </xdr:to>
        <xdr:sp macro="" textlink="">
          <xdr:nvSpPr>
            <xdr:cNvPr id="1031" name="InputButton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535780</xdr:colOff>
      <xdr:row>5</xdr:row>
      <xdr:rowOff>123825</xdr:rowOff>
    </xdr:from>
    <xdr:to>
      <xdr:col>10</xdr:col>
      <xdr:colOff>421480</xdr:colOff>
      <xdr:row>14</xdr:row>
      <xdr:rowOff>123825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7EBE432-E3D2-91D1-8720-EF03D8BED0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:V63"/>
  <sheetViews>
    <sheetView showGridLines="0" zoomScale="98" zoomScaleNormal="85" workbookViewId="0">
      <selection activeCell="C4" sqref="C4:C7"/>
    </sheetView>
  </sheetViews>
  <sheetFormatPr defaultRowHeight="13.9"/>
  <cols>
    <col min="1" max="1" width="5.06640625" customWidth="1"/>
    <col min="3" max="3" width="11.796875" customWidth="1"/>
    <col min="4" max="4" width="10" customWidth="1"/>
    <col min="5" max="5" width="9.3984375" customWidth="1"/>
    <col min="6" max="6" width="13" customWidth="1"/>
    <col min="8" max="8" width="13.46484375" customWidth="1"/>
    <col min="10" max="10" width="11" customWidth="1"/>
    <col min="11" max="11" width="9.6640625" customWidth="1"/>
    <col min="21" max="21" width="13.265625" customWidth="1"/>
  </cols>
  <sheetData>
    <row r="1" spans="1:22" ht="39.75" customHeight="1">
      <c r="R1" t="s">
        <v>136</v>
      </c>
    </row>
    <row r="3" spans="1:22" s="2" customFormat="1" ht="33" customHeight="1">
      <c r="B3" s="64" t="s">
        <v>144</v>
      </c>
      <c r="C3" s="65" t="s">
        <v>139</v>
      </c>
      <c r="D3" s="66" t="s">
        <v>137</v>
      </c>
      <c r="E3" s="67" t="s">
        <v>138</v>
      </c>
      <c r="F3" s="64" t="s">
        <v>140</v>
      </c>
      <c r="G3" s="65" t="s">
        <v>141</v>
      </c>
      <c r="H3" s="68" t="s">
        <v>142</v>
      </c>
      <c r="I3" s="67" t="s">
        <v>143</v>
      </c>
      <c r="J3" s="69" t="s">
        <v>145</v>
      </c>
      <c r="K3" s="65" t="s">
        <v>146</v>
      </c>
      <c r="L3" s="68" t="s">
        <v>147</v>
      </c>
      <c r="M3" s="67" t="s">
        <v>148</v>
      </c>
      <c r="N3" s="69" t="s">
        <v>149</v>
      </c>
      <c r="O3" s="65" t="s">
        <v>150</v>
      </c>
      <c r="P3" s="53"/>
      <c r="R3" s="87" t="s">
        <v>0</v>
      </c>
      <c r="S3" s="87"/>
      <c r="T3" s="87"/>
      <c r="U3" s="87"/>
      <c r="V3" s="87"/>
    </row>
    <row r="4" spans="1:22">
      <c r="A4" s="1"/>
      <c r="B4" s="60">
        <v>2013</v>
      </c>
      <c r="C4" s="61"/>
      <c r="D4" s="62"/>
      <c r="E4" s="61"/>
      <c r="F4" s="63"/>
      <c r="G4" s="61"/>
      <c r="H4" s="63"/>
      <c r="I4" s="61"/>
      <c r="J4" s="63"/>
      <c r="K4" s="61"/>
      <c r="L4" s="63"/>
      <c r="M4" s="61"/>
      <c r="N4" s="63"/>
      <c r="O4" s="61"/>
      <c r="R4" s="87"/>
      <c r="S4" s="87"/>
      <c r="T4" s="87"/>
      <c r="U4" s="87"/>
      <c r="V4" s="87"/>
    </row>
    <row r="5" spans="1:22">
      <c r="B5" s="58">
        <v>2014</v>
      </c>
      <c r="C5" s="3"/>
      <c r="D5" s="56"/>
      <c r="E5" s="3"/>
      <c r="F5" s="54"/>
      <c r="G5" s="3"/>
      <c r="H5" s="54"/>
      <c r="I5" s="3"/>
      <c r="J5" s="54"/>
      <c r="K5" s="3"/>
      <c r="L5" s="54"/>
      <c r="M5" s="3"/>
      <c r="N5" s="54"/>
      <c r="O5" s="3"/>
    </row>
    <row r="6" spans="1:22">
      <c r="B6" s="58">
        <v>2015</v>
      </c>
      <c r="C6" s="3"/>
      <c r="D6" s="56"/>
      <c r="E6" s="3"/>
      <c r="F6" s="54"/>
      <c r="G6" s="3"/>
      <c r="H6" s="54"/>
      <c r="I6" s="3"/>
      <c r="J6" s="54"/>
      <c r="K6" s="3"/>
      <c r="L6" s="54"/>
      <c r="M6" s="3"/>
      <c r="N6" s="54"/>
      <c r="O6" s="3"/>
      <c r="R6" t="s">
        <v>151</v>
      </c>
    </row>
    <row r="7" spans="1:22">
      <c r="B7" s="58">
        <v>2016</v>
      </c>
      <c r="C7" s="3"/>
      <c r="D7" s="56"/>
      <c r="E7" s="3"/>
      <c r="F7" s="54"/>
      <c r="G7" s="3"/>
      <c r="H7" s="54"/>
      <c r="I7" s="3"/>
      <c r="J7" s="54"/>
      <c r="K7" s="3"/>
      <c r="L7" s="54"/>
      <c r="M7" s="3"/>
      <c r="N7" s="54"/>
      <c r="O7" s="3"/>
    </row>
    <row r="8" spans="1:22">
      <c r="B8" s="58">
        <v>2017</v>
      </c>
      <c r="C8" s="3"/>
      <c r="D8" s="56"/>
      <c r="E8" s="3"/>
      <c r="F8" s="54"/>
      <c r="G8" s="3"/>
      <c r="H8" s="54"/>
      <c r="I8" s="3"/>
      <c r="J8" s="54"/>
      <c r="K8" s="3"/>
      <c r="L8" s="54"/>
      <c r="M8" s="3"/>
      <c r="N8" s="54"/>
      <c r="O8" s="3"/>
    </row>
    <row r="9" spans="1:22">
      <c r="B9" s="58">
        <v>2018</v>
      </c>
      <c r="C9" s="3"/>
      <c r="D9" s="56"/>
      <c r="E9" s="3"/>
      <c r="F9" s="54"/>
      <c r="G9" s="3"/>
      <c r="H9" s="54"/>
      <c r="I9" s="3"/>
      <c r="J9" s="54"/>
      <c r="K9" s="3"/>
      <c r="L9" s="54"/>
      <c r="M9" s="3"/>
      <c r="N9" s="54"/>
      <c r="O9" s="3"/>
    </row>
    <row r="10" spans="1:22">
      <c r="B10" s="58">
        <v>2019</v>
      </c>
      <c r="C10" s="3"/>
      <c r="D10" s="56"/>
      <c r="E10" s="3"/>
      <c r="F10" s="54"/>
      <c r="G10" s="3"/>
      <c r="H10" s="54"/>
      <c r="I10" s="3"/>
      <c r="J10" s="54"/>
      <c r="K10" s="3"/>
      <c r="L10" s="54"/>
      <c r="M10" s="3"/>
      <c r="N10" s="54"/>
      <c r="O10" s="3"/>
    </row>
    <row r="11" spans="1:22">
      <c r="B11" s="58">
        <v>2020</v>
      </c>
      <c r="C11" s="3"/>
      <c r="D11" s="56"/>
      <c r="E11" s="3"/>
      <c r="F11" s="54"/>
      <c r="G11" s="3"/>
      <c r="H11" s="54"/>
      <c r="I11" s="3"/>
      <c r="J11" s="54"/>
      <c r="K11" s="3"/>
      <c r="L11" s="54"/>
      <c r="M11" s="3"/>
      <c r="N11" s="54"/>
      <c r="O11" s="3"/>
    </row>
    <row r="12" spans="1:22">
      <c r="B12" s="58">
        <v>2021</v>
      </c>
      <c r="C12" s="3"/>
      <c r="D12" s="56"/>
      <c r="E12" s="3"/>
      <c r="F12" s="54"/>
      <c r="G12" s="3"/>
      <c r="H12" s="54"/>
      <c r="I12" s="3"/>
      <c r="J12" s="54"/>
      <c r="K12" s="3"/>
      <c r="L12" s="54"/>
      <c r="M12" s="3"/>
      <c r="N12" s="54"/>
      <c r="O12" s="3"/>
    </row>
    <row r="13" spans="1:22">
      <c r="B13" s="58"/>
      <c r="C13" s="3"/>
      <c r="D13" s="56"/>
      <c r="E13" s="3"/>
      <c r="F13" s="54"/>
      <c r="G13" s="3"/>
      <c r="H13" s="54"/>
      <c r="I13" s="3"/>
      <c r="J13" s="54"/>
      <c r="K13" s="3"/>
      <c r="L13" s="54"/>
      <c r="M13" s="3"/>
      <c r="N13" s="54"/>
      <c r="O13" s="3"/>
    </row>
    <row r="14" spans="1:22">
      <c r="B14" s="58"/>
      <c r="C14" s="3"/>
      <c r="D14" s="56"/>
      <c r="E14" s="3"/>
      <c r="F14" s="54"/>
      <c r="G14" s="3"/>
      <c r="H14" s="54"/>
      <c r="I14" s="3"/>
      <c r="J14" s="54"/>
      <c r="K14" s="3"/>
      <c r="L14" s="54"/>
      <c r="M14" s="3"/>
      <c r="N14" s="54"/>
      <c r="O14" s="3"/>
    </row>
    <row r="15" spans="1:22">
      <c r="B15" s="58"/>
      <c r="C15" s="3"/>
      <c r="D15" s="56"/>
      <c r="E15" s="3"/>
      <c r="F15" s="54"/>
      <c r="G15" s="3"/>
      <c r="H15" s="54"/>
      <c r="I15" s="3"/>
      <c r="J15" s="54"/>
      <c r="K15" s="3"/>
      <c r="L15" s="54"/>
      <c r="M15" s="3"/>
      <c r="N15" s="54"/>
      <c r="O15" s="3"/>
    </row>
    <row r="16" spans="1:22">
      <c r="B16" s="58"/>
      <c r="C16" s="3"/>
      <c r="D16" s="56"/>
      <c r="E16" s="3"/>
      <c r="F16" s="54"/>
      <c r="G16" s="3"/>
      <c r="H16" s="54"/>
      <c r="I16" s="3"/>
      <c r="J16" s="54"/>
      <c r="K16" s="3"/>
      <c r="L16" s="54"/>
      <c r="M16" s="3"/>
      <c r="N16" s="54"/>
      <c r="O16" s="3"/>
    </row>
    <row r="17" spans="2:15">
      <c r="B17" s="58"/>
      <c r="C17" s="3"/>
      <c r="D17" s="56"/>
      <c r="E17" s="3"/>
      <c r="F17" s="54"/>
      <c r="G17" s="3"/>
      <c r="H17" s="54"/>
      <c r="I17" s="3"/>
      <c r="J17" s="54"/>
      <c r="K17" s="3"/>
      <c r="L17" s="54"/>
      <c r="M17" s="3"/>
      <c r="N17" s="54"/>
      <c r="O17" s="3"/>
    </row>
    <row r="18" spans="2:15">
      <c r="B18" s="58"/>
      <c r="C18" s="3"/>
      <c r="D18" s="56"/>
      <c r="E18" s="3"/>
      <c r="F18" s="54"/>
      <c r="G18" s="3"/>
      <c r="H18" s="54"/>
      <c r="I18" s="3"/>
      <c r="J18" s="54"/>
      <c r="K18" s="3"/>
      <c r="L18" s="54"/>
      <c r="M18" s="3"/>
      <c r="N18" s="54"/>
      <c r="O18" s="3"/>
    </row>
    <row r="19" spans="2:15">
      <c r="B19" s="58"/>
      <c r="C19" s="3"/>
      <c r="D19" s="56"/>
      <c r="E19" s="3"/>
      <c r="F19" s="54"/>
      <c r="G19" s="3"/>
      <c r="H19" s="54"/>
      <c r="I19" s="3"/>
      <c r="J19" s="54"/>
      <c r="K19" s="3"/>
      <c r="L19" s="54"/>
      <c r="M19" s="3"/>
      <c r="N19" s="54"/>
      <c r="O19" s="3"/>
    </row>
    <row r="20" spans="2:15">
      <c r="B20" s="58"/>
      <c r="C20" s="3"/>
      <c r="D20" s="56"/>
      <c r="E20" s="3"/>
      <c r="F20" s="54"/>
      <c r="G20" s="3"/>
      <c r="H20" s="54"/>
      <c r="I20" s="3"/>
      <c r="J20" s="54"/>
      <c r="K20" s="3"/>
      <c r="L20" s="54"/>
      <c r="M20" s="3"/>
      <c r="N20" s="54"/>
      <c r="O20" s="3"/>
    </row>
    <row r="21" spans="2:15">
      <c r="B21" s="58"/>
      <c r="C21" s="3"/>
      <c r="D21" s="56"/>
      <c r="E21" s="3"/>
      <c r="F21" s="54"/>
      <c r="G21" s="3"/>
      <c r="H21" s="54"/>
      <c r="I21" s="3"/>
      <c r="J21" s="54"/>
      <c r="K21" s="3"/>
      <c r="L21" s="54"/>
      <c r="M21" s="3"/>
      <c r="N21" s="54"/>
      <c r="O21" s="3"/>
    </row>
    <row r="22" spans="2:15">
      <c r="B22" s="58"/>
      <c r="C22" s="3"/>
      <c r="D22" s="56"/>
      <c r="E22" s="3"/>
      <c r="F22" s="54"/>
      <c r="G22" s="3"/>
      <c r="H22" s="54"/>
      <c r="I22" s="3"/>
      <c r="J22" s="54"/>
      <c r="K22" s="3"/>
      <c r="L22" s="54"/>
      <c r="M22" s="3"/>
      <c r="N22" s="54"/>
      <c r="O22" s="3"/>
    </row>
    <row r="23" spans="2:15">
      <c r="B23" s="58"/>
      <c r="C23" s="3"/>
      <c r="D23" s="56"/>
      <c r="E23" s="3"/>
      <c r="F23" s="54"/>
      <c r="G23" s="3"/>
      <c r="H23" s="54"/>
      <c r="I23" s="3"/>
      <c r="J23" s="54"/>
      <c r="K23" s="3"/>
      <c r="L23" s="54"/>
      <c r="M23" s="3"/>
      <c r="N23" s="54"/>
      <c r="O23" s="3"/>
    </row>
    <row r="24" spans="2:15">
      <c r="B24" s="58"/>
      <c r="C24" s="3"/>
      <c r="D24" s="56"/>
      <c r="E24" s="3"/>
      <c r="F24" s="54"/>
      <c r="G24" s="3"/>
      <c r="H24" s="54"/>
      <c r="I24" s="3"/>
      <c r="J24" s="54"/>
      <c r="K24" s="3"/>
      <c r="L24" s="54"/>
      <c r="M24" s="3"/>
      <c r="N24" s="54"/>
      <c r="O24" s="3"/>
    </row>
    <row r="25" spans="2:15">
      <c r="B25" s="58"/>
      <c r="C25" s="3"/>
      <c r="D25" s="56"/>
      <c r="E25" s="3"/>
      <c r="F25" s="54"/>
      <c r="G25" s="3"/>
      <c r="H25" s="54"/>
      <c r="I25" s="3"/>
      <c r="J25" s="54"/>
      <c r="K25" s="3"/>
      <c r="L25" s="54"/>
      <c r="M25" s="3"/>
      <c r="N25" s="54"/>
      <c r="O25" s="3"/>
    </row>
    <row r="26" spans="2:15">
      <c r="B26" s="58"/>
      <c r="C26" s="3"/>
      <c r="D26" s="56"/>
      <c r="E26" s="3"/>
      <c r="F26" s="54"/>
      <c r="G26" s="3"/>
      <c r="H26" s="54"/>
      <c r="I26" s="3"/>
      <c r="J26" s="54"/>
      <c r="K26" s="3"/>
      <c r="L26" s="54"/>
      <c r="M26" s="3"/>
      <c r="N26" s="54"/>
      <c r="O26" s="3"/>
    </row>
    <row r="27" spans="2:15">
      <c r="B27" s="58"/>
      <c r="C27" s="3"/>
      <c r="D27" s="56"/>
      <c r="E27" s="3"/>
      <c r="F27" s="54"/>
      <c r="G27" s="3"/>
      <c r="H27" s="54"/>
      <c r="I27" s="3"/>
      <c r="J27" s="54"/>
      <c r="K27" s="3"/>
      <c r="L27" s="54"/>
      <c r="M27" s="3"/>
      <c r="N27" s="54"/>
      <c r="O27" s="3"/>
    </row>
    <row r="28" spans="2:15">
      <c r="B28" s="58"/>
      <c r="C28" s="3"/>
      <c r="D28" s="56"/>
      <c r="E28" s="3"/>
      <c r="F28" s="54"/>
      <c r="G28" s="3"/>
      <c r="H28" s="54"/>
      <c r="I28" s="3"/>
      <c r="J28" s="54"/>
      <c r="K28" s="3"/>
      <c r="L28" s="54"/>
      <c r="M28" s="3"/>
      <c r="N28" s="54"/>
      <c r="O28" s="3"/>
    </row>
    <row r="29" spans="2:15">
      <c r="B29" s="58"/>
      <c r="C29" s="3"/>
      <c r="D29" s="56"/>
      <c r="E29" s="3"/>
      <c r="F29" s="54"/>
      <c r="G29" s="3"/>
      <c r="H29" s="54"/>
      <c r="I29" s="3"/>
      <c r="J29" s="54"/>
      <c r="K29" s="3"/>
      <c r="L29" s="54"/>
      <c r="M29" s="3"/>
      <c r="N29" s="54"/>
      <c r="O29" s="3"/>
    </row>
    <row r="30" spans="2:15">
      <c r="B30" s="58"/>
      <c r="C30" s="3"/>
      <c r="D30" s="56"/>
      <c r="E30" s="3"/>
      <c r="F30" s="54"/>
      <c r="G30" s="3"/>
      <c r="H30" s="54"/>
      <c r="I30" s="3"/>
      <c r="J30" s="54"/>
      <c r="K30" s="3"/>
      <c r="L30" s="54"/>
      <c r="M30" s="3"/>
      <c r="N30" s="54"/>
      <c r="O30" s="3"/>
    </row>
    <row r="31" spans="2:15">
      <c r="B31" s="58"/>
      <c r="C31" s="3"/>
      <c r="D31" s="56"/>
      <c r="E31" s="3"/>
      <c r="F31" s="54"/>
      <c r="G31" s="3"/>
      <c r="H31" s="54"/>
      <c r="I31" s="3"/>
      <c r="J31" s="54"/>
      <c r="K31" s="3"/>
      <c r="L31" s="54"/>
      <c r="M31" s="3"/>
      <c r="N31" s="54"/>
      <c r="O31" s="3"/>
    </row>
    <row r="32" spans="2:15">
      <c r="B32" s="58"/>
      <c r="C32" s="3"/>
      <c r="D32" s="56"/>
      <c r="E32" s="3"/>
      <c r="F32" s="54"/>
      <c r="G32" s="3"/>
      <c r="H32" s="54"/>
      <c r="I32" s="3"/>
      <c r="J32" s="54"/>
      <c r="K32" s="3"/>
      <c r="L32" s="54"/>
      <c r="M32" s="3"/>
      <c r="N32" s="54"/>
      <c r="O32" s="3"/>
    </row>
    <row r="33" spans="2:15">
      <c r="B33" s="58"/>
      <c r="C33" s="3"/>
      <c r="D33" s="56"/>
      <c r="E33" s="3"/>
      <c r="F33" s="54"/>
      <c r="G33" s="3"/>
      <c r="H33" s="54"/>
      <c r="I33" s="3"/>
      <c r="J33" s="54"/>
      <c r="K33" s="3"/>
      <c r="L33" s="54"/>
      <c r="M33" s="3"/>
      <c r="N33" s="54"/>
      <c r="O33" s="3"/>
    </row>
    <row r="34" spans="2:15">
      <c r="B34" s="58"/>
      <c r="C34" s="3"/>
      <c r="D34" s="56"/>
      <c r="E34" s="3"/>
      <c r="F34" s="54"/>
      <c r="G34" s="3"/>
      <c r="H34" s="54"/>
      <c r="I34" s="3"/>
      <c r="J34" s="54"/>
      <c r="K34" s="3"/>
      <c r="L34" s="54"/>
      <c r="M34" s="3"/>
      <c r="N34" s="54"/>
      <c r="O34" s="3"/>
    </row>
    <row r="35" spans="2:15">
      <c r="B35" s="58"/>
      <c r="C35" s="3"/>
      <c r="D35" s="56"/>
      <c r="E35" s="3"/>
      <c r="F35" s="54"/>
      <c r="G35" s="3"/>
      <c r="H35" s="54"/>
      <c r="I35" s="3"/>
      <c r="J35" s="54"/>
      <c r="K35" s="3"/>
      <c r="L35" s="54"/>
      <c r="M35" s="3"/>
      <c r="N35" s="54"/>
      <c r="O35" s="3"/>
    </row>
    <row r="36" spans="2:15">
      <c r="B36" s="58"/>
      <c r="C36" s="3"/>
      <c r="D36" s="56"/>
      <c r="E36" s="3"/>
      <c r="F36" s="54"/>
      <c r="G36" s="3"/>
      <c r="H36" s="54"/>
      <c r="I36" s="3"/>
      <c r="J36" s="54"/>
      <c r="K36" s="3"/>
      <c r="L36" s="54"/>
      <c r="M36" s="3"/>
      <c r="N36" s="54"/>
      <c r="O36" s="3"/>
    </row>
    <row r="37" spans="2:15">
      <c r="B37" s="58"/>
      <c r="C37" s="3"/>
      <c r="D37" s="56"/>
      <c r="E37" s="3"/>
      <c r="F37" s="54"/>
      <c r="G37" s="3"/>
      <c r="H37" s="54"/>
      <c r="I37" s="3"/>
      <c r="J37" s="54"/>
      <c r="K37" s="3"/>
      <c r="L37" s="54"/>
      <c r="M37" s="3"/>
      <c r="N37" s="54"/>
      <c r="O37" s="3"/>
    </row>
    <row r="38" spans="2:15">
      <c r="B38" s="58"/>
      <c r="C38" s="3"/>
      <c r="D38" s="56"/>
      <c r="E38" s="3"/>
      <c r="F38" s="54"/>
      <c r="G38" s="3"/>
      <c r="H38" s="54"/>
      <c r="I38" s="3"/>
      <c r="J38" s="54"/>
      <c r="K38" s="3"/>
      <c r="L38" s="54"/>
      <c r="M38" s="3"/>
      <c r="N38" s="54"/>
      <c r="O38" s="3"/>
    </row>
    <row r="39" spans="2:15">
      <c r="B39" s="58"/>
      <c r="C39" s="3"/>
      <c r="D39" s="56"/>
      <c r="E39" s="3"/>
      <c r="F39" s="54"/>
      <c r="G39" s="3"/>
      <c r="H39" s="54"/>
      <c r="I39" s="3"/>
      <c r="J39" s="54"/>
      <c r="K39" s="3"/>
      <c r="L39" s="54"/>
      <c r="M39" s="3"/>
      <c r="N39" s="54"/>
      <c r="O39" s="3"/>
    </row>
    <row r="40" spans="2:15">
      <c r="B40" s="58"/>
      <c r="C40" s="3"/>
      <c r="D40" s="56"/>
      <c r="E40" s="3"/>
      <c r="F40" s="54"/>
      <c r="G40" s="3"/>
      <c r="H40" s="54"/>
      <c r="I40" s="3"/>
      <c r="J40" s="54"/>
      <c r="K40" s="3"/>
      <c r="L40" s="54"/>
      <c r="M40" s="3"/>
      <c r="N40" s="54"/>
      <c r="O40" s="3"/>
    </row>
    <row r="41" spans="2:15">
      <c r="B41" s="58"/>
      <c r="C41" s="3"/>
      <c r="D41" s="56"/>
      <c r="E41" s="3"/>
      <c r="F41" s="54"/>
      <c r="G41" s="3"/>
      <c r="H41" s="54"/>
      <c r="I41" s="3"/>
      <c r="J41" s="54"/>
      <c r="K41" s="3"/>
      <c r="L41" s="54"/>
      <c r="M41" s="3"/>
      <c r="N41" s="54"/>
      <c r="O41" s="3"/>
    </row>
    <row r="42" spans="2:15">
      <c r="B42" s="58"/>
      <c r="C42" s="3"/>
      <c r="D42" s="56"/>
      <c r="E42" s="3"/>
      <c r="F42" s="54"/>
      <c r="G42" s="3"/>
      <c r="H42" s="54"/>
      <c r="I42" s="3"/>
      <c r="J42" s="54"/>
      <c r="K42" s="3"/>
      <c r="L42" s="54"/>
      <c r="M42" s="3"/>
      <c r="N42" s="54"/>
      <c r="O42" s="3"/>
    </row>
    <row r="43" spans="2:15">
      <c r="B43" s="58"/>
      <c r="C43" s="3"/>
      <c r="D43" s="56"/>
      <c r="E43" s="3"/>
      <c r="F43" s="54"/>
      <c r="G43" s="3"/>
      <c r="H43" s="54"/>
      <c r="I43" s="3"/>
      <c r="J43" s="54"/>
      <c r="K43" s="3"/>
      <c r="L43" s="54"/>
      <c r="M43" s="3"/>
      <c r="N43" s="54"/>
      <c r="O43" s="3"/>
    </row>
    <row r="44" spans="2:15">
      <c r="B44" s="58"/>
      <c r="C44" s="3"/>
      <c r="D44" s="56"/>
      <c r="E44" s="3"/>
      <c r="F44" s="54"/>
      <c r="G44" s="3"/>
      <c r="H44" s="54"/>
      <c r="I44" s="3"/>
      <c r="J44" s="54"/>
      <c r="K44" s="3"/>
      <c r="L44" s="54"/>
      <c r="M44" s="3"/>
      <c r="N44" s="54"/>
      <c r="O44" s="3"/>
    </row>
    <row r="45" spans="2:15">
      <c r="B45" s="58"/>
      <c r="C45" s="3"/>
      <c r="D45" s="56"/>
      <c r="E45" s="3"/>
      <c r="F45" s="54"/>
      <c r="G45" s="3"/>
      <c r="H45" s="54"/>
      <c r="I45" s="3"/>
      <c r="J45" s="54"/>
      <c r="K45" s="3"/>
      <c r="L45" s="54"/>
      <c r="M45" s="3"/>
      <c r="N45" s="54"/>
      <c r="O45" s="3"/>
    </row>
    <row r="46" spans="2:15">
      <c r="B46" s="58"/>
      <c r="C46" s="3"/>
      <c r="D46" s="56"/>
      <c r="E46" s="3"/>
      <c r="F46" s="54"/>
      <c r="G46" s="3"/>
      <c r="H46" s="54"/>
      <c r="I46" s="3"/>
      <c r="J46" s="54"/>
      <c r="K46" s="3"/>
      <c r="L46" s="54"/>
      <c r="M46" s="3"/>
      <c r="N46" s="54"/>
      <c r="O46" s="3"/>
    </row>
    <row r="47" spans="2:15">
      <c r="B47" s="58"/>
      <c r="C47" s="3"/>
      <c r="D47" s="56"/>
      <c r="E47" s="3"/>
      <c r="F47" s="54"/>
      <c r="G47" s="3"/>
      <c r="H47" s="54"/>
      <c r="I47" s="3"/>
      <c r="J47" s="54"/>
      <c r="K47" s="3"/>
      <c r="L47" s="54"/>
      <c r="M47" s="3"/>
      <c r="N47" s="54"/>
      <c r="O47" s="3"/>
    </row>
    <row r="48" spans="2:15">
      <c r="B48" s="58"/>
      <c r="C48" s="3"/>
      <c r="D48" s="56"/>
      <c r="E48" s="3"/>
      <c r="F48" s="54"/>
      <c r="G48" s="3"/>
      <c r="H48" s="54"/>
      <c r="I48" s="3"/>
      <c r="J48" s="54"/>
      <c r="K48" s="3"/>
      <c r="L48" s="54"/>
      <c r="M48" s="3"/>
      <c r="N48" s="54"/>
      <c r="O48" s="3"/>
    </row>
    <row r="49" spans="2:15">
      <c r="B49" s="58"/>
      <c r="C49" s="3"/>
      <c r="D49" s="56"/>
      <c r="E49" s="3"/>
      <c r="F49" s="54"/>
      <c r="G49" s="3"/>
      <c r="H49" s="54"/>
      <c r="I49" s="3"/>
      <c r="J49" s="54"/>
      <c r="K49" s="3"/>
      <c r="L49" s="54"/>
      <c r="M49" s="3"/>
      <c r="N49" s="54"/>
      <c r="O49" s="3"/>
    </row>
    <row r="50" spans="2:15">
      <c r="B50" s="58"/>
      <c r="C50" s="3"/>
      <c r="D50" s="56"/>
      <c r="E50" s="3"/>
      <c r="F50" s="54"/>
      <c r="G50" s="3"/>
      <c r="H50" s="54"/>
      <c r="I50" s="3"/>
      <c r="J50" s="54"/>
      <c r="K50" s="3"/>
      <c r="L50" s="54"/>
      <c r="M50" s="3"/>
      <c r="N50" s="54"/>
      <c r="O50" s="3"/>
    </row>
    <row r="51" spans="2:15">
      <c r="B51" s="58"/>
      <c r="C51" s="3"/>
      <c r="D51" s="56"/>
      <c r="E51" s="3"/>
      <c r="F51" s="54"/>
      <c r="G51" s="3"/>
      <c r="H51" s="54"/>
      <c r="I51" s="3"/>
      <c r="J51" s="54"/>
      <c r="K51" s="3"/>
      <c r="L51" s="54"/>
      <c r="M51" s="3"/>
      <c r="N51" s="54"/>
      <c r="O51" s="3"/>
    </row>
    <row r="52" spans="2:15">
      <c r="B52" s="58"/>
      <c r="C52" s="3"/>
      <c r="D52" s="56"/>
      <c r="E52" s="3"/>
      <c r="F52" s="54"/>
      <c r="G52" s="3"/>
      <c r="H52" s="54"/>
      <c r="I52" s="3"/>
      <c r="J52" s="54"/>
      <c r="K52" s="3"/>
      <c r="L52" s="54"/>
      <c r="M52" s="3"/>
      <c r="N52" s="54"/>
      <c r="O52" s="3"/>
    </row>
    <row r="53" spans="2:15">
      <c r="B53" s="58"/>
      <c r="C53" s="3"/>
      <c r="D53" s="56"/>
      <c r="E53" s="3"/>
      <c r="F53" s="54"/>
      <c r="G53" s="3"/>
      <c r="H53" s="54"/>
      <c r="I53" s="3"/>
      <c r="J53" s="54"/>
      <c r="K53" s="3"/>
      <c r="L53" s="54"/>
      <c r="M53" s="3"/>
      <c r="N53" s="54"/>
      <c r="O53" s="3"/>
    </row>
    <row r="54" spans="2:15">
      <c r="B54" s="58"/>
      <c r="C54" s="3"/>
      <c r="D54" s="56"/>
      <c r="E54" s="3"/>
      <c r="F54" s="54"/>
      <c r="G54" s="3"/>
      <c r="H54" s="54"/>
      <c r="I54" s="3"/>
      <c r="J54" s="54"/>
      <c r="K54" s="3"/>
      <c r="L54" s="54"/>
      <c r="M54" s="3"/>
      <c r="N54" s="54"/>
      <c r="O54" s="3"/>
    </row>
    <row r="55" spans="2:15">
      <c r="B55" s="58"/>
      <c r="C55" s="3"/>
      <c r="D55" s="56"/>
      <c r="E55" s="3"/>
      <c r="F55" s="54"/>
      <c r="G55" s="3"/>
      <c r="H55" s="54"/>
      <c r="I55" s="3"/>
      <c r="J55" s="54"/>
      <c r="K55" s="3"/>
      <c r="L55" s="54"/>
      <c r="M55" s="3"/>
      <c r="N55" s="54"/>
      <c r="O55" s="3"/>
    </row>
    <row r="56" spans="2:15">
      <c r="B56" s="58"/>
      <c r="C56" s="3"/>
      <c r="D56" s="56"/>
      <c r="E56" s="3"/>
      <c r="F56" s="54"/>
      <c r="G56" s="3"/>
      <c r="H56" s="54"/>
      <c r="I56" s="3"/>
      <c r="J56" s="54"/>
      <c r="K56" s="3"/>
      <c r="L56" s="54"/>
      <c r="M56" s="3"/>
      <c r="N56" s="54"/>
      <c r="O56" s="3"/>
    </row>
    <row r="57" spans="2:15">
      <c r="B57" s="58"/>
      <c r="C57" s="3"/>
      <c r="D57" s="56"/>
      <c r="E57" s="3"/>
      <c r="F57" s="54"/>
      <c r="G57" s="3"/>
      <c r="H57" s="54"/>
      <c r="I57" s="3"/>
      <c r="J57" s="54"/>
      <c r="K57" s="3"/>
      <c r="L57" s="54"/>
      <c r="M57" s="3"/>
      <c r="N57" s="54"/>
      <c r="O57" s="3"/>
    </row>
    <row r="58" spans="2:15">
      <c r="B58" s="58"/>
      <c r="C58" s="3"/>
      <c r="D58" s="56"/>
      <c r="E58" s="3"/>
      <c r="F58" s="54"/>
      <c r="G58" s="3"/>
      <c r="H58" s="54"/>
      <c r="I58" s="3"/>
      <c r="J58" s="54"/>
      <c r="K58" s="3"/>
      <c r="L58" s="54"/>
      <c r="M58" s="3"/>
      <c r="N58" s="54"/>
      <c r="O58" s="3"/>
    </row>
    <row r="59" spans="2:15">
      <c r="B59" s="58"/>
      <c r="C59" s="3"/>
      <c r="D59" s="56"/>
      <c r="E59" s="3"/>
      <c r="F59" s="54"/>
      <c r="G59" s="3"/>
      <c r="H59" s="54"/>
      <c r="I59" s="3"/>
      <c r="J59" s="54"/>
      <c r="K59" s="3"/>
      <c r="L59" s="54"/>
      <c r="M59" s="3"/>
      <c r="N59" s="54"/>
      <c r="O59" s="3"/>
    </row>
    <row r="60" spans="2:15">
      <c r="B60" s="58"/>
      <c r="C60" s="3"/>
      <c r="D60" s="56"/>
      <c r="E60" s="3"/>
      <c r="F60" s="54"/>
      <c r="G60" s="3"/>
      <c r="H60" s="54"/>
      <c r="I60" s="3"/>
      <c r="J60" s="54"/>
      <c r="K60" s="3"/>
      <c r="L60" s="54"/>
      <c r="M60" s="3"/>
      <c r="N60" s="54"/>
      <c r="O60" s="3"/>
    </row>
    <row r="61" spans="2:15">
      <c r="B61" s="58"/>
      <c r="C61" s="3"/>
      <c r="D61" s="56"/>
      <c r="E61" s="3"/>
      <c r="F61" s="54"/>
      <c r="G61" s="3"/>
      <c r="H61" s="54"/>
      <c r="I61" s="3"/>
      <c r="J61" s="54"/>
      <c r="K61" s="3"/>
      <c r="L61" s="54"/>
      <c r="M61" s="3"/>
      <c r="N61" s="54"/>
      <c r="O61" s="3"/>
    </row>
    <row r="62" spans="2:15">
      <c r="B62" s="58"/>
      <c r="C62" s="3"/>
      <c r="D62" s="56"/>
      <c r="E62" s="3"/>
      <c r="F62" s="54"/>
      <c r="G62" s="3"/>
      <c r="H62" s="54"/>
      <c r="I62" s="3"/>
      <c r="J62" s="54"/>
      <c r="K62" s="3"/>
      <c r="L62" s="54"/>
      <c r="M62" s="3"/>
      <c r="N62" s="54"/>
      <c r="O62" s="3"/>
    </row>
    <row r="63" spans="2:15">
      <c r="B63" s="59"/>
      <c r="C63" s="3"/>
      <c r="D63" s="57"/>
      <c r="E63" s="3"/>
      <c r="F63" s="55"/>
      <c r="G63" s="3"/>
      <c r="H63" s="55"/>
      <c r="I63" s="3"/>
      <c r="J63" s="55"/>
      <c r="K63" s="3"/>
      <c r="L63" s="55"/>
      <c r="M63" s="3"/>
      <c r="N63" s="55"/>
      <c r="O63" s="3"/>
    </row>
  </sheetData>
  <mergeCells count="1">
    <mergeCell ref="R3:V4"/>
  </mergeCells>
  <phoneticPr fontId="1" type="noConversion"/>
  <dataValidations count="1">
    <dataValidation type="list" allowBlank="1" showInputMessage="1" showErrorMessage="1" sqref="C4:C63 M4:M63 E4:E63 G4:G63 I4:I63 K4:K63 O4:O63" xr:uid="{DA4A591A-2EF9-458F-9EC6-907059ECDACC}">
      <formula1>"x, -"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InputButton1">
          <controlPr defaultSize="0" autoLine="0" r:id="rId5">
            <anchor moveWithCells="1">
              <from>
                <xdr:col>12</xdr:col>
                <xdr:colOff>585788</xdr:colOff>
                <xdr:row>0</xdr:row>
                <xdr:rowOff>185738</xdr:rowOff>
              </from>
              <to>
                <xdr:col>14</xdr:col>
                <xdr:colOff>619125</xdr:colOff>
                <xdr:row>0</xdr:row>
                <xdr:rowOff>481013</xdr:rowOff>
              </to>
            </anchor>
          </controlPr>
        </control>
      </mc:Choice>
      <mc:Fallback>
        <control shapeId="1027" r:id="rId4" name="InputButton1"/>
      </mc:Fallback>
    </mc:AlternateContent>
    <mc:AlternateContent xmlns:mc="http://schemas.openxmlformats.org/markup-compatibility/2006">
      <mc:Choice Requires="x14">
        <control shapeId="1029" r:id="rId6" name="InputButton2">
          <controlPr defaultSize="0" autoLine="0" r:id="rId7">
            <anchor moveWithCells="1">
              <from>
                <xdr:col>0</xdr:col>
                <xdr:colOff>214313</xdr:colOff>
                <xdr:row>0</xdr:row>
                <xdr:rowOff>147638</xdr:rowOff>
              </from>
              <to>
                <xdr:col>3</xdr:col>
                <xdr:colOff>14288</xdr:colOff>
                <xdr:row>0</xdr:row>
                <xdr:rowOff>500063</xdr:rowOff>
              </to>
            </anchor>
          </controlPr>
        </control>
      </mc:Choice>
      <mc:Fallback>
        <control shapeId="1029" r:id="rId6" name="InputButton2"/>
      </mc:Fallback>
    </mc:AlternateContent>
    <mc:AlternateContent xmlns:mc="http://schemas.openxmlformats.org/markup-compatibility/2006">
      <mc:Choice Requires="x14">
        <control shapeId="1031" r:id="rId8" name="InputButton3">
          <controlPr defaultSize="0" autoLine="0" r:id="rId9">
            <anchor moveWithCells="1">
              <from>
                <xdr:col>3</xdr:col>
                <xdr:colOff>233363</xdr:colOff>
                <xdr:row>0</xdr:row>
                <xdr:rowOff>152400</xdr:rowOff>
              </from>
              <to>
                <xdr:col>5</xdr:col>
                <xdr:colOff>419100</xdr:colOff>
                <xdr:row>1</xdr:row>
                <xdr:rowOff>4763</xdr:rowOff>
              </to>
            </anchor>
          </controlPr>
        </control>
      </mc:Choice>
      <mc:Fallback>
        <control shapeId="1031" r:id="rId8" name="Input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AC8F1-2185-4DD2-9FBB-9C4ED5E389ED}">
  <sheetPr codeName="Sheet2">
    <tabColor theme="5" tint="0.59999389629810485"/>
  </sheetPr>
  <dimension ref="A14:AL53"/>
  <sheetViews>
    <sheetView showGridLines="0" tabSelected="1" topLeftCell="A6" workbookViewId="0">
      <selection activeCell="B10" sqref="B10"/>
    </sheetView>
  </sheetViews>
  <sheetFormatPr defaultRowHeight="13.9"/>
  <cols>
    <col min="2" max="2" width="31.19921875" customWidth="1"/>
    <col min="3" max="3" width="11.1328125" customWidth="1"/>
    <col min="4" max="4" width="9.9296875" customWidth="1"/>
    <col min="5" max="5" width="9.19921875" customWidth="1"/>
    <col min="6" max="6" width="10.19921875" customWidth="1"/>
  </cols>
  <sheetData>
    <row r="14" spans="1:1" ht="105" customHeight="1"/>
    <row r="15" spans="1:1">
      <c r="A15" t="s">
        <v>154</v>
      </c>
    </row>
    <row r="17" spans="1:38">
      <c r="A17" s="76" t="s">
        <v>153</v>
      </c>
      <c r="B17" s="73" t="s">
        <v>152</v>
      </c>
      <c r="C17" s="81">
        <v>2013</v>
      </c>
      <c r="D17" s="82">
        <v>2014</v>
      </c>
      <c r="E17" s="82">
        <v>2015</v>
      </c>
      <c r="F17" s="82">
        <v>2016</v>
      </c>
      <c r="G17" s="82">
        <v>2017</v>
      </c>
      <c r="H17" s="82">
        <v>2018</v>
      </c>
      <c r="I17" s="82">
        <v>2019</v>
      </c>
      <c r="J17" s="82">
        <v>2020</v>
      </c>
      <c r="K17" s="82">
        <v>2021</v>
      </c>
      <c r="L17" s="80"/>
      <c r="M17" s="77"/>
      <c r="N17" s="77"/>
      <c r="O17" s="77"/>
      <c r="P17" s="77"/>
      <c r="Q17" s="77"/>
      <c r="R17" s="77"/>
      <c r="S17" s="77"/>
      <c r="T17" s="77"/>
      <c r="U17" s="80"/>
      <c r="V17" s="77"/>
      <c r="W17" s="77"/>
      <c r="X17" s="77"/>
      <c r="Y17" s="77"/>
      <c r="Z17" s="77"/>
      <c r="AA17" s="77"/>
      <c r="AB17" s="77"/>
      <c r="AC17" s="77"/>
      <c r="AD17" s="80"/>
      <c r="AE17" s="77"/>
      <c r="AF17" s="77"/>
      <c r="AG17" s="77"/>
      <c r="AH17" s="77"/>
      <c r="AI17" s="77"/>
      <c r="AJ17" s="77"/>
      <c r="AK17" s="77"/>
      <c r="AL17" s="77"/>
    </row>
    <row r="18" spans="1:38">
      <c r="A18" s="3"/>
      <c r="B18" s="83" t="s">
        <v>13</v>
      </c>
      <c r="C18" s="84">
        <v>1.5873164676896536</v>
      </c>
      <c r="D18" s="84">
        <v>1.8709264471084892</v>
      </c>
      <c r="E18" s="84">
        <v>0.81015466227873589</v>
      </c>
      <c r="F18" s="84">
        <v>0.36832101088338781</v>
      </c>
      <c r="G18" s="84">
        <v>0.59966730574038574</v>
      </c>
      <c r="H18" s="84">
        <v>0.30467166704970433</v>
      </c>
      <c r="I18" s="84">
        <v>0.17448053681040071</v>
      </c>
      <c r="J18" s="84">
        <v>0.30829298186069309</v>
      </c>
      <c r="K18" s="85">
        <v>0.30871953542488229</v>
      </c>
    </row>
    <row r="19" spans="1:38">
      <c r="A19" s="3"/>
      <c r="B19" s="74" t="s">
        <v>23</v>
      </c>
      <c r="C19" s="70">
        <v>3.3962558411214956</v>
      </c>
      <c r="D19" s="70">
        <v>1.3872331081081077</v>
      </c>
      <c r="E19" s="70">
        <v>2.6209652126185934</v>
      </c>
      <c r="F19" s="70">
        <v>0.77996082474226802</v>
      </c>
      <c r="G19" s="70">
        <v>1.5905898876404494</v>
      </c>
      <c r="H19" s="70">
        <v>1.2998224852071005</v>
      </c>
      <c r="I19" s="70">
        <v>2.1497969543147208</v>
      </c>
      <c r="J19" s="70">
        <v>3.37990505913272</v>
      </c>
      <c r="K19" s="71">
        <v>0.35847583834909719</v>
      </c>
    </row>
    <row r="20" spans="1:38">
      <c r="A20" s="3"/>
      <c r="B20" s="74" t="s">
        <v>24</v>
      </c>
      <c r="C20" s="70">
        <v>7.355595349917424</v>
      </c>
      <c r="D20" s="70">
        <v>3.0244231263383297</v>
      </c>
      <c r="E20" s="70">
        <v>0.57509052648951975</v>
      </c>
      <c r="F20" s="70">
        <v>0.64058979756014234</v>
      </c>
      <c r="G20" s="70">
        <v>9.9173798635771409</v>
      </c>
      <c r="H20" s="70">
        <v>48.403694714131611</v>
      </c>
      <c r="I20" s="70">
        <v>30.446283161028219</v>
      </c>
      <c r="J20" s="70">
        <v>16.115175690336219</v>
      </c>
      <c r="K20" s="71">
        <v>27.757201152733693</v>
      </c>
    </row>
    <row r="21" spans="1:38">
      <c r="A21" s="3"/>
      <c r="B21" s="75" t="s">
        <v>25</v>
      </c>
      <c r="C21" s="86">
        <v>0.60376087149154356</v>
      </c>
      <c r="D21" s="86">
        <v>1.0784321205624567</v>
      </c>
      <c r="E21" s="86">
        <v>0.16063119559286024</v>
      </c>
      <c r="F21" s="86">
        <v>0.71403327309648446</v>
      </c>
      <c r="G21" s="86">
        <v>1.8670869899388958</v>
      </c>
      <c r="H21" s="86">
        <v>0.99488165189826716</v>
      </c>
      <c r="I21" s="86">
        <v>1.642644707930506</v>
      </c>
      <c r="J21" s="86">
        <v>0.27736046789617486</v>
      </c>
      <c r="K21" s="72">
        <v>0.29139853495793444</v>
      </c>
    </row>
    <row r="22" spans="1:38">
      <c r="B22" s="77"/>
      <c r="D22" s="78"/>
      <c r="E22" s="78"/>
      <c r="F22" s="79"/>
    </row>
    <row r="23" spans="1:38">
      <c r="B23" s="77"/>
      <c r="D23" s="78"/>
      <c r="E23" s="78"/>
      <c r="F23" s="79"/>
    </row>
    <row r="24" spans="1:38">
      <c r="B24" s="77"/>
      <c r="D24" s="78"/>
      <c r="E24" s="78"/>
      <c r="F24" s="79"/>
    </row>
    <row r="25" spans="1:38">
      <c r="B25" s="77"/>
      <c r="D25" s="78"/>
      <c r="E25" s="78"/>
      <c r="F25" s="79"/>
    </row>
    <row r="26" spans="1:38">
      <c r="B26" s="77"/>
      <c r="D26" s="78"/>
      <c r="E26" s="78"/>
      <c r="F26" s="79"/>
    </row>
    <row r="27" spans="1:38">
      <c r="B27" s="80"/>
      <c r="D27" s="78"/>
      <c r="E27" s="78"/>
      <c r="F27" s="79"/>
    </row>
    <row r="28" spans="1:38">
      <c r="B28" s="77"/>
      <c r="D28" s="78"/>
      <c r="E28" s="78"/>
      <c r="F28" s="79"/>
    </row>
    <row r="29" spans="1:38">
      <c r="B29" s="77"/>
      <c r="D29" s="78"/>
      <c r="E29" s="78"/>
      <c r="F29" s="79"/>
    </row>
    <row r="30" spans="1:38">
      <c r="B30" s="77"/>
      <c r="D30" s="78"/>
      <c r="E30" s="78"/>
      <c r="F30" s="79"/>
    </row>
    <row r="31" spans="1:38">
      <c r="B31" s="77"/>
      <c r="D31" s="78"/>
      <c r="E31" s="78"/>
      <c r="F31" s="79"/>
    </row>
    <row r="32" spans="1:38">
      <c r="B32" s="77"/>
      <c r="D32" s="78"/>
      <c r="E32" s="78"/>
      <c r="F32" s="79"/>
    </row>
    <row r="33" spans="2:6">
      <c r="B33" s="77"/>
      <c r="D33" s="78"/>
      <c r="E33" s="78"/>
      <c r="F33" s="79"/>
    </row>
    <row r="34" spans="2:6">
      <c r="B34" s="77"/>
      <c r="D34" s="78"/>
      <c r="E34" s="78"/>
      <c r="F34" s="79"/>
    </row>
    <row r="35" spans="2:6">
      <c r="B35" s="77"/>
      <c r="D35" s="78"/>
      <c r="E35" s="78"/>
      <c r="F35" s="79"/>
    </row>
    <row r="36" spans="2:6">
      <c r="B36" s="80"/>
      <c r="D36" s="78"/>
      <c r="E36" s="78"/>
      <c r="F36" s="79"/>
    </row>
    <row r="37" spans="2:6">
      <c r="B37" s="77"/>
      <c r="D37" s="78"/>
      <c r="E37" s="78"/>
      <c r="F37" s="79"/>
    </row>
    <row r="38" spans="2:6">
      <c r="B38" s="77"/>
      <c r="D38" s="78"/>
      <c r="E38" s="78"/>
      <c r="F38" s="79"/>
    </row>
    <row r="39" spans="2:6">
      <c r="B39" s="77"/>
      <c r="D39" s="78"/>
      <c r="E39" s="78"/>
      <c r="F39" s="79"/>
    </row>
    <row r="40" spans="2:6">
      <c r="B40" s="77"/>
      <c r="D40" s="78"/>
      <c r="E40" s="78"/>
      <c r="F40" s="79"/>
    </row>
    <row r="41" spans="2:6">
      <c r="B41" s="77"/>
      <c r="D41" s="78"/>
      <c r="E41" s="78"/>
      <c r="F41" s="79"/>
    </row>
    <row r="42" spans="2:6">
      <c r="B42" s="77"/>
      <c r="D42" s="78"/>
      <c r="E42" s="78"/>
      <c r="F42" s="79"/>
    </row>
    <row r="43" spans="2:6">
      <c r="B43" s="77"/>
      <c r="D43" s="78"/>
      <c r="E43" s="78"/>
      <c r="F43" s="79"/>
    </row>
    <row r="44" spans="2:6">
      <c r="B44" s="77"/>
      <c r="D44" s="78"/>
      <c r="E44" s="78"/>
      <c r="F44" s="79"/>
    </row>
    <row r="45" spans="2:6">
      <c r="B45" s="80"/>
      <c r="D45" s="78"/>
      <c r="E45" s="78"/>
      <c r="F45" s="79"/>
    </row>
    <row r="46" spans="2:6">
      <c r="B46" s="77"/>
      <c r="D46" s="78"/>
      <c r="E46" s="78"/>
      <c r="F46" s="79"/>
    </row>
    <row r="47" spans="2:6">
      <c r="B47" s="77"/>
      <c r="D47" s="78"/>
      <c r="E47" s="78"/>
      <c r="F47" s="79"/>
    </row>
    <row r="48" spans="2:6">
      <c r="B48" s="77"/>
      <c r="D48" s="78"/>
      <c r="E48" s="78"/>
      <c r="F48" s="79"/>
    </row>
    <row r="49" spans="2:6">
      <c r="B49" s="77"/>
      <c r="D49" s="78"/>
      <c r="E49" s="78"/>
      <c r="F49" s="79"/>
    </row>
    <row r="50" spans="2:6">
      <c r="B50" s="77"/>
      <c r="D50" s="78"/>
      <c r="E50" s="78"/>
      <c r="F50" s="79"/>
    </row>
    <row r="51" spans="2:6">
      <c r="B51" s="77"/>
      <c r="D51" s="78"/>
      <c r="E51" s="78"/>
      <c r="F51" s="79"/>
    </row>
    <row r="52" spans="2:6">
      <c r="B52" s="77"/>
      <c r="D52" s="78"/>
      <c r="E52" s="78"/>
      <c r="F52" s="79"/>
    </row>
    <row r="53" spans="2:6">
      <c r="B53" s="77"/>
      <c r="D53" s="78"/>
      <c r="E53" s="78"/>
      <c r="F53" s="79"/>
    </row>
  </sheetData>
  <phoneticPr fontId="1" type="noConversion"/>
  <dataValidations count="1">
    <dataValidation type="list" allowBlank="1" showInputMessage="1" showErrorMessage="1" sqref="A18:A21" xr:uid="{DFE2E244-31B3-4494-B6AB-9E43763D9081}">
      <formula1>"x, -"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120AB-F869-4220-95F7-C2935BB6DC31}">
  <sheetPr codeName="Sheet4">
    <pageSetUpPr fitToPage="1"/>
  </sheetPr>
  <dimension ref="B1:S814"/>
  <sheetViews>
    <sheetView topLeftCell="A34" zoomScale="80" zoomScaleNormal="80" workbookViewId="0">
      <selection activeCell="K39" sqref="K39:L47"/>
    </sheetView>
  </sheetViews>
  <sheetFormatPr defaultColWidth="10.53125" defaultRowHeight="12.75"/>
  <cols>
    <col min="1" max="1" width="1" style="14" customWidth="1"/>
    <col min="2" max="2" width="4.53125" style="13" customWidth="1"/>
    <col min="3" max="3" width="9.796875" style="13" customWidth="1"/>
    <col min="4" max="4" width="37.265625" style="14" customWidth="1"/>
    <col min="5" max="5" width="13.19921875" style="6" customWidth="1"/>
    <col min="6" max="6" width="14.06640625" style="5" customWidth="1"/>
    <col min="7" max="7" width="13.53125" style="5" customWidth="1"/>
    <col min="8" max="8" width="13.796875" style="5" customWidth="1"/>
    <col min="9" max="9" width="13.53125" style="5" customWidth="1"/>
    <col min="10" max="10" width="11.53125" style="7" customWidth="1"/>
    <col min="11" max="11" width="11.265625" style="6" customWidth="1"/>
    <col min="12" max="12" width="11.73046875" style="19" customWidth="1"/>
    <col min="13" max="13" width="14.33203125" style="19" customWidth="1"/>
    <col min="14" max="16384" width="10.53125" style="14"/>
  </cols>
  <sheetData>
    <row r="1" spans="2:19" ht="9.5" customHeight="1">
      <c r="B1" s="44"/>
      <c r="C1" s="44"/>
      <c r="D1" s="45"/>
      <c r="E1" s="46"/>
      <c r="F1" s="47"/>
      <c r="G1" s="47"/>
      <c r="H1" s="47"/>
      <c r="I1" s="47"/>
      <c r="J1" s="48"/>
      <c r="K1" s="46"/>
      <c r="L1" s="49"/>
      <c r="M1" s="49"/>
    </row>
    <row r="2" spans="2:19" s="25" customFormat="1" ht="45.95" customHeight="1">
      <c r="B2" s="31" t="s">
        <v>1</v>
      </c>
      <c r="C2" s="31" t="s">
        <v>2</v>
      </c>
      <c r="D2" s="38" t="s">
        <v>3</v>
      </c>
      <c r="E2" s="37" t="s">
        <v>4</v>
      </c>
      <c r="F2" s="32" t="s">
        <v>5</v>
      </c>
      <c r="G2" s="32" t="s">
        <v>6</v>
      </c>
      <c r="H2" s="33" t="s">
        <v>7</v>
      </c>
      <c r="I2" s="33" t="s">
        <v>8</v>
      </c>
      <c r="J2" s="34" t="s">
        <v>9</v>
      </c>
      <c r="K2" s="33" t="s">
        <v>10</v>
      </c>
      <c r="L2" s="35" t="s">
        <v>11</v>
      </c>
      <c r="M2" s="36"/>
      <c r="N2" s="39"/>
      <c r="O2" s="40"/>
      <c r="P2" s="41"/>
      <c r="Q2" s="40"/>
      <c r="R2" s="42"/>
      <c r="S2" s="43"/>
    </row>
    <row r="3" spans="2:19" ht="18.5" customHeight="1">
      <c r="B3" s="13">
        <v>290</v>
      </c>
      <c r="C3" s="13" t="s">
        <v>12</v>
      </c>
      <c r="D3" s="14" t="s">
        <v>13</v>
      </c>
      <c r="E3" s="6">
        <v>20611400</v>
      </c>
      <c r="F3" s="5">
        <v>19352719</v>
      </c>
      <c r="G3" s="5">
        <v>669752</v>
      </c>
      <c r="H3" s="5">
        <f>SUM(F3+G3)</f>
        <v>20022471</v>
      </c>
      <c r="I3" s="5">
        <f>SUM(E3-H3)</f>
        <v>588929</v>
      </c>
      <c r="J3" s="7">
        <f>SUM(H3/E3)</f>
        <v>0.97142702582066232</v>
      </c>
      <c r="K3" s="6">
        <f>SUM(I3*0.2)</f>
        <v>117785.8</v>
      </c>
      <c r="L3" s="19">
        <v>186963.34</v>
      </c>
    </row>
    <row r="4" spans="2:19" ht="18.5" customHeight="1">
      <c r="B4" s="13">
        <v>290</v>
      </c>
      <c r="C4" s="13" t="s">
        <v>14</v>
      </c>
      <c r="D4" s="14" t="s">
        <v>13</v>
      </c>
      <c r="E4" s="6">
        <v>20349600</v>
      </c>
      <c r="F4" s="5">
        <v>19060463</v>
      </c>
      <c r="G4" s="5">
        <v>919607</v>
      </c>
      <c r="H4" s="5">
        <f t="shared" ref="H4:H11" si="0">SUM(F4+G4)</f>
        <v>19980070</v>
      </c>
      <c r="I4" s="5">
        <f t="shared" ref="I4:I11" si="1">SUM(E4-H4)</f>
        <v>369530</v>
      </c>
      <c r="J4" s="7">
        <f t="shared" ref="J4:J11" si="2">SUM(H4/E4)</f>
        <v>0.98184092070605811</v>
      </c>
      <c r="K4" s="6">
        <f t="shared" ref="K4:K11" si="3">SUM(I4*0.2)</f>
        <v>73906</v>
      </c>
      <c r="L4" s="19">
        <v>138272.69</v>
      </c>
    </row>
    <row r="5" spans="2:19" ht="18.5" customHeight="1">
      <c r="B5" s="13">
        <v>290</v>
      </c>
      <c r="C5" s="13" t="s">
        <v>15</v>
      </c>
      <c r="D5" s="14" t="s">
        <v>13</v>
      </c>
      <c r="E5" s="6">
        <v>20349600</v>
      </c>
      <c r="F5" s="5">
        <v>18856270</v>
      </c>
      <c r="G5" s="5">
        <v>1167588</v>
      </c>
      <c r="H5" s="5">
        <f t="shared" si="0"/>
        <v>20023858</v>
      </c>
      <c r="I5" s="5">
        <f t="shared" si="1"/>
        <v>325742</v>
      </c>
      <c r="J5" s="7">
        <f t="shared" si="2"/>
        <v>0.98399270747336554</v>
      </c>
      <c r="K5" s="6">
        <f t="shared" si="3"/>
        <v>65148.4</v>
      </c>
      <c r="L5" s="19">
        <v>52780.28</v>
      </c>
    </row>
    <row r="6" spans="2:19" ht="18.5" customHeight="1">
      <c r="B6" s="13">
        <v>290</v>
      </c>
      <c r="C6" s="13" t="s">
        <v>16</v>
      </c>
      <c r="D6" s="14" t="s">
        <v>13</v>
      </c>
      <c r="E6" s="6">
        <v>21900003</v>
      </c>
      <c r="F6" s="5">
        <v>20335553</v>
      </c>
      <c r="G6" s="5">
        <v>1044667</v>
      </c>
      <c r="H6" s="5">
        <f t="shared" si="0"/>
        <v>21380220</v>
      </c>
      <c r="I6" s="5">
        <f t="shared" si="1"/>
        <v>519783</v>
      </c>
      <c r="J6" s="7">
        <f t="shared" si="2"/>
        <v>0.9762656196896411</v>
      </c>
      <c r="K6" s="6">
        <f t="shared" si="3"/>
        <v>103956.6</v>
      </c>
      <c r="L6" s="19">
        <v>38289.399999999994</v>
      </c>
    </row>
    <row r="7" spans="2:19" ht="18.5" customHeight="1">
      <c r="B7" s="13">
        <v>290</v>
      </c>
      <c r="C7" s="13" t="s">
        <v>17</v>
      </c>
      <c r="D7" s="14" t="s">
        <v>13</v>
      </c>
      <c r="E7" s="6">
        <v>19932500</v>
      </c>
      <c r="F7" s="5">
        <v>18634230</v>
      </c>
      <c r="G7" s="5">
        <v>1120930</v>
      </c>
      <c r="H7" s="5">
        <f t="shared" si="0"/>
        <v>19755160</v>
      </c>
      <c r="I7" s="5">
        <f t="shared" si="1"/>
        <v>177340</v>
      </c>
      <c r="J7" s="7">
        <f t="shared" si="2"/>
        <v>0.99110297253229651</v>
      </c>
      <c r="K7" s="6">
        <f t="shared" si="3"/>
        <v>35468</v>
      </c>
      <c r="L7" s="19">
        <v>21269</v>
      </c>
    </row>
    <row r="8" spans="2:19" ht="18.5" customHeight="1">
      <c r="B8" s="13">
        <v>290</v>
      </c>
      <c r="C8" s="13" t="s">
        <v>18</v>
      </c>
      <c r="D8" s="14" t="s">
        <v>13</v>
      </c>
      <c r="E8" s="6">
        <v>21426300</v>
      </c>
      <c r="F8" s="5">
        <v>19553480</v>
      </c>
      <c r="G8" s="5">
        <v>1681368</v>
      </c>
      <c r="H8" s="5">
        <f t="shared" si="0"/>
        <v>21234848</v>
      </c>
      <c r="I8" s="5">
        <f t="shared" si="1"/>
        <v>191452</v>
      </c>
      <c r="J8" s="7">
        <f t="shared" si="2"/>
        <v>0.99106462618370883</v>
      </c>
      <c r="K8" s="6">
        <f t="shared" si="3"/>
        <v>38290.400000000001</v>
      </c>
      <c r="L8" s="19">
        <v>11666</v>
      </c>
    </row>
    <row r="9" spans="2:19" ht="18.5" customHeight="1">
      <c r="B9" s="13">
        <v>290</v>
      </c>
      <c r="C9" s="13" t="s">
        <v>19</v>
      </c>
      <c r="D9" s="14" t="s">
        <v>13</v>
      </c>
      <c r="E9" s="11">
        <v>22970800</v>
      </c>
      <c r="F9" s="8">
        <v>20993266</v>
      </c>
      <c r="G9" s="8">
        <v>1584099</v>
      </c>
      <c r="H9" s="5">
        <f t="shared" si="0"/>
        <v>22577365</v>
      </c>
      <c r="I9" s="5">
        <f t="shared" si="1"/>
        <v>393435</v>
      </c>
      <c r="J9" s="7">
        <f t="shared" si="2"/>
        <v>0.98287238581155201</v>
      </c>
      <c r="K9" s="6">
        <f t="shared" si="3"/>
        <v>78687</v>
      </c>
      <c r="L9" s="4">
        <v>13729.35</v>
      </c>
      <c r="M9" s="4"/>
    </row>
    <row r="10" spans="2:19" ht="18.5" customHeight="1">
      <c r="B10" s="13">
        <v>290</v>
      </c>
      <c r="C10" s="13" t="s">
        <v>20</v>
      </c>
      <c r="D10" s="14" t="s">
        <v>13</v>
      </c>
      <c r="E10" s="11">
        <v>23393600</v>
      </c>
      <c r="F10" s="8">
        <v>21805675</v>
      </c>
      <c r="G10" s="8">
        <v>1322755</v>
      </c>
      <c r="H10" s="5">
        <f t="shared" si="0"/>
        <v>23128430</v>
      </c>
      <c r="I10" s="5">
        <f t="shared" si="1"/>
        <v>265170</v>
      </c>
      <c r="J10" s="7">
        <f t="shared" si="2"/>
        <v>0.98866484850557412</v>
      </c>
      <c r="K10" s="6">
        <f t="shared" si="3"/>
        <v>53034</v>
      </c>
      <c r="L10" s="19">
        <v>16350.009999999998</v>
      </c>
    </row>
    <row r="11" spans="2:19" ht="18.5" customHeight="1">
      <c r="B11" s="13">
        <v>290</v>
      </c>
      <c r="C11" s="13" t="s">
        <v>21</v>
      </c>
      <c r="D11" s="14" t="s">
        <v>13</v>
      </c>
      <c r="E11" s="5">
        <v>24990600</v>
      </c>
      <c r="F11" s="5">
        <v>23027998</v>
      </c>
      <c r="G11" s="5">
        <v>1574118</v>
      </c>
      <c r="H11" s="5">
        <f t="shared" si="0"/>
        <v>24602116</v>
      </c>
      <c r="I11" s="5">
        <f t="shared" si="1"/>
        <v>388484</v>
      </c>
      <c r="J11" s="7">
        <f t="shared" si="2"/>
        <v>0.9844547950029211</v>
      </c>
      <c r="K11" s="6">
        <f t="shared" si="3"/>
        <v>77696.800000000003</v>
      </c>
      <c r="L11" s="19">
        <v>23986.519999999997</v>
      </c>
    </row>
    <row r="12" spans="2:19" s="24" customFormat="1" ht="18.5" customHeight="1">
      <c r="B12" s="27"/>
      <c r="C12" s="27"/>
      <c r="D12" s="28" t="s">
        <v>22</v>
      </c>
      <c r="E12" s="23">
        <f>SUM(E3:E11)/9</f>
        <v>21769378.111111112</v>
      </c>
      <c r="F12" s="23">
        <f>SUM(F3:F11)/9</f>
        <v>20179961.555555556</v>
      </c>
      <c r="G12" s="23">
        <f>SUM(G3:G11)/9</f>
        <v>1231653.7777777778</v>
      </c>
      <c r="H12" s="23">
        <f>SUM(H3:H11)/9</f>
        <v>21411615.333333332</v>
      </c>
      <c r="I12" s="23">
        <f>SUM(I3:I11)/9</f>
        <v>357762.77777777775</v>
      </c>
      <c r="J12" s="29">
        <f>SUM(H12/E12)</f>
        <v>0.98356577868454698</v>
      </c>
      <c r="K12" s="23">
        <f>SUM(K3:K11)/9</f>
        <v>71552.555555555562</v>
      </c>
      <c r="L12" s="20">
        <f>SUM(L3:L11)/9</f>
        <v>55922.954444444455</v>
      </c>
      <c r="M12" s="20"/>
    </row>
    <row r="13" spans="2:19" ht="12.95" customHeight="1"/>
    <row r="14" spans="2:19" s="25" customFormat="1" ht="45.95" customHeight="1">
      <c r="B14" s="31" t="s">
        <v>1</v>
      </c>
      <c r="C14" s="31" t="s">
        <v>2</v>
      </c>
      <c r="D14" s="38" t="s">
        <v>3</v>
      </c>
      <c r="E14" s="37" t="s">
        <v>4</v>
      </c>
      <c r="F14" s="32" t="s">
        <v>5</v>
      </c>
      <c r="G14" s="32" t="s">
        <v>6</v>
      </c>
      <c r="H14" s="33" t="s">
        <v>7</v>
      </c>
      <c r="I14" s="33" t="s">
        <v>8</v>
      </c>
      <c r="J14" s="34" t="s">
        <v>9</v>
      </c>
      <c r="K14" s="33" t="s">
        <v>10</v>
      </c>
      <c r="L14" s="35" t="s">
        <v>11</v>
      </c>
      <c r="M14" s="36"/>
      <c r="N14" s="39"/>
      <c r="O14" s="40"/>
      <c r="P14" s="41"/>
      <c r="Q14" s="40"/>
      <c r="R14" s="42"/>
      <c r="S14" s="43"/>
    </row>
    <row r="15" spans="2:19" ht="18.5" customHeight="1">
      <c r="B15" s="13">
        <v>295</v>
      </c>
      <c r="C15" s="13" t="s">
        <v>12</v>
      </c>
      <c r="D15" s="14" t="s">
        <v>23</v>
      </c>
      <c r="E15" s="6">
        <v>8073800</v>
      </c>
      <c r="F15" s="5">
        <v>7605350</v>
      </c>
      <c r="G15" s="5">
        <v>382850</v>
      </c>
      <c r="H15" s="5">
        <f t="shared" ref="H15:H23" si="4">SUM(F15+G15)</f>
        <v>7988200</v>
      </c>
      <c r="I15" s="5">
        <f t="shared" ref="I15:I23" si="5">SUM(E15-H15)</f>
        <v>85600</v>
      </c>
      <c r="J15" s="7">
        <f t="shared" ref="J15:J23" si="6">SUM(H15/E15)</f>
        <v>0.98939780524660015</v>
      </c>
      <c r="K15" s="6">
        <f t="shared" ref="K15:K23" si="7">SUM(I15*0.2)</f>
        <v>17120</v>
      </c>
      <c r="L15" s="19">
        <v>58143.9</v>
      </c>
    </row>
    <row r="16" spans="2:19" ht="18.5" customHeight="1">
      <c r="B16" s="13">
        <v>295</v>
      </c>
      <c r="C16" s="13" t="s">
        <v>14</v>
      </c>
      <c r="D16" s="14" t="s">
        <v>23</v>
      </c>
      <c r="E16" s="6">
        <v>8159500</v>
      </c>
      <c r="F16" s="5">
        <v>7659300</v>
      </c>
      <c r="G16" s="5">
        <v>426200</v>
      </c>
      <c r="H16" s="5">
        <f t="shared" si="4"/>
        <v>8085500</v>
      </c>
      <c r="I16" s="5">
        <f t="shared" si="5"/>
        <v>74000</v>
      </c>
      <c r="J16" s="7">
        <f t="shared" si="6"/>
        <v>0.99093081683926709</v>
      </c>
      <c r="K16" s="6">
        <f t="shared" si="7"/>
        <v>14800</v>
      </c>
      <c r="L16" s="19">
        <v>20531.049999999996</v>
      </c>
    </row>
    <row r="17" spans="2:19" ht="18.5" customHeight="1">
      <c r="B17" s="13">
        <v>295</v>
      </c>
      <c r="C17" s="13" t="s">
        <v>15</v>
      </c>
      <c r="D17" s="14" t="s">
        <v>23</v>
      </c>
      <c r="E17" s="6">
        <v>8164500</v>
      </c>
      <c r="F17" s="5">
        <v>8035339</v>
      </c>
      <c r="G17" s="5">
        <v>90900</v>
      </c>
      <c r="H17" s="5">
        <f t="shared" si="4"/>
        <v>8126239</v>
      </c>
      <c r="I17" s="5">
        <f t="shared" si="5"/>
        <v>38261</v>
      </c>
      <c r="J17" s="7">
        <f t="shared" si="6"/>
        <v>0.99531373629738507</v>
      </c>
      <c r="K17" s="6">
        <f t="shared" si="7"/>
        <v>7652.2000000000007</v>
      </c>
      <c r="L17" s="19">
        <v>20056.150000000001</v>
      </c>
    </row>
    <row r="18" spans="2:19" ht="18.5" customHeight="1">
      <c r="B18" s="13">
        <v>295</v>
      </c>
      <c r="C18" s="13" t="s">
        <v>16</v>
      </c>
      <c r="D18" s="14" t="s">
        <v>23</v>
      </c>
      <c r="E18" s="6">
        <v>16543700</v>
      </c>
      <c r="F18" s="5">
        <v>14461800</v>
      </c>
      <c r="G18" s="5">
        <v>1984900</v>
      </c>
      <c r="H18" s="5">
        <f t="shared" si="4"/>
        <v>16446700</v>
      </c>
      <c r="I18" s="5">
        <f t="shared" si="5"/>
        <v>97000</v>
      </c>
      <c r="J18" s="7">
        <f t="shared" si="6"/>
        <v>0.99413674087416959</v>
      </c>
      <c r="K18" s="6">
        <f t="shared" si="7"/>
        <v>19400</v>
      </c>
      <c r="L18" s="19">
        <v>15131.24</v>
      </c>
    </row>
    <row r="19" spans="2:19" ht="18.5" customHeight="1">
      <c r="B19" s="13">
        <v>295</v>
      </c>
      <c r="C19" s="13" t="s">
        <v>17</v>
      </c>
      <c r="D19" s="14" t="s">
        <v>23</v>
      </c>
      <c r="E19" s="6">
        <v>14579600</v>
      </c>
      <c r="F19" s="5">
        <v>11703300</v>
      </c>
      <c r="G19" s="5">
        <v>2805100</v>
      </c>
      <c r="H19" s="5">
        <f t="shared" si="4"/>
        <v>14508400</v>
      </c>
      <c r="I19" s="5">
        <f t="shared" si="5"/>
        <v>71200</v>
      </c>
      <c r="J19" s="7">
        <f t="shared" si="6"/>
        <v>0.99511646410052401</v>
      </c>
      <c r="K19" s="6">
        <f t="shared" si="7"/>
        <v>14240</v>
      </c>
      <c r="L19" s="19">
        <v>22650</v>
      </c>
    </row>
    <row r="20" spans="2:19" ht="18.5" customHeight="1">
      <c r="B20" s="13">
        <v>295</v>
      </c>
      <c r="C20" s="13" t="s">
        <v>18</v>
      </c>
      <c r="D20" s="14" t="s">
        <v>23</v>
      </c>
      <c r="E20" s="6">
        <v>17574000</v>
      </c>
      <c r="F20" s="5">
        <v>15232500</v>
      </c>
      <c r="G20" s="5">
        <v>2257000</v>
      </c>
      <c r="H20" s="5">
        <f t="shared" si="4"/>
        <v>17489500</v>
      </c>
      <c r="I20" s="5">
        <f t="shared" si="5"/>
        <v>84500</v>
      </c>
      <c r="J20" s="7">
        <f t="shared" si="6"/>
        <v>0.99519176055536585</v>
      </c>
      <c r="K20" s="6">
        <f t="shared" si="7"/>
        <v>16900</v>
      </c>
      <c r="L20" s="19">
        <v>21967</v>
      </c>
    </row>
    <row r="21" spans="2:19" ht="18.5" customHeight="1">
      <c r="B21" s="13">
        <v>295</v>
      </c>
      <c r="C21" s="13" t="s">
        <v>19</v>
      </c>
      <c r="D21" s="14" t="s">
        <v>23</v>
      </c>
      <c r="E21" s="11">
        <v>18607900</v>
      </c>
      <c r="F21" s="8">
        <v>16653400</v>
      </c>
      <c r="G21" s="8">
        <v>1856000</v>
      </c>
      <c r="H21" s="5">
        <f t="shared" si="4"/>
        <v>18509400</v>
      </c>
      <c r="I21" s="5">
        <f t="shared" si="5"/>
        <v>98500</v>
      </c>
      <c r="J21" s="7">
        <f t="shared" si="6"/>
        <v>0.99470654936881642</v>
      </c>
      <c r="K21" s="6">
        <f t="shared" si="7"/>
        <v>19700</v>
      </c>
      <c r="L21" s="4">
        <v>42351</v>
      </c>
      <c r="M21" s="4"/>
    </row>
    <row r="22" spans="2:19" ht="18.5" customHeight="1">
      <c r="B22" s="13">
        <v>295</v>
      </c>
      <c r="C22" s="13" t="s">
        <v>20</v>
      </c>
      <c r="D22" s="14" t="s">
        <v>23</v>
      </c>
      <c r="E22" s="11">
        <v>19499300</v>
      </c>
      <c r="F22" s="8">
        <v>18398300</v>
      </c>
      <c r="G22" s="8">
        <v>948800</v>
      </c>
      <c r="H22" s="5">
        <f t="shared" si="4"/>
        <v>19347100</v>
      </c>
      <c r="I22" s="5">
        <f t="shared" si="5"/>
        <v>152200</v>
      </c>
      <c r="J22" s="7">
        <f t="shared" si="6"/>
        <v>0.9921945916007241</v>
      </c>
      <c r="K22" s="6">
        <f t="shared" si="7"/>
        <v>30440</v>
      </c>
      <c r="L22" s="19">
        <v>102884.31</v>
      </c>
    </row>
    <row r="23" spans="2:19" ht="18.5" customHeight="1">
      <c r="B23" s="13">
        <v>295</v>
      </c>
      <c r="C23" s="13" t="s">
        <v>21</v>
      </c>
      <c r="D23" s="14" t="s">
        <v>23</v>
      </c>
      <c r="E23" s="5">
        <v>20525400</v>
      </c>
      <c r="F23" s="5">
        <v>18128350</v>
      </c>
      <c r="G23" s="5">
        <v>2106300</v>
      </c>
      <c r="H23" s="5">
        <f t="shared" si="4"/>
        <v>20234650</v>
      </c>
      <c r="I23" s="5">
        <f t="shared" si="5"/>
        <v>290750</v>
      </c>
      <c r="J23" s="7">
        <f t="shared" si="6"/>
        <v>0.98583462441657654</v>
      </c>
      <c r="K23" s="6">
        <f t="shared" si="7"/>
        <v>58150</v>
      </c>
      <c r="L23" s="19">
        <v>20845.370000000003</v>
      </c>
    </row>
    <row r="24" spans="2:19" s="24" customFormat="1" ht="18.5" customHeight="1">
      <c r="B24" s="27"/>
      <c r="C24" s="27"/>
      <c r="D24" s="28" t="s">
        <v>22</v>
      </c>
      <c r="E24" s="23">
        <f>SUM(E15:E23)/9</f>
        <v>14636411.111111112</v>
      </c>
      <c r="F24" s="23">
        <f>SUM(F15:F23)/9</f>
        <v>13097515.444444444</v>
      </c>
      <c r="G24" s="23">
        <f>SUM(G15:G23)/9</f>
        <v>1428672.2222222222</v>
      </c>
      <c r="H24" s="23">
        <f>SUM(H15:H23)/9</f>
        <v>14526187.666666666</v>
      </c>
      <c r="I24" s="23">
        <f>SUM(I15:I23)/9</f>
        <v>110223.44444444444</v>
      </c>
      <c r="J24" s="29">
        <f>SUM(H24/E24)</f>
        <v>0.99246923008600307</v>
      </c>
      <c r="K24" s="23">
        <f>SUM(K15:K23)/9</f>
        <v>22044.68888888889</v>
      </c>
      <c r="L24" s="20">
        <f>SUM(L15:L23)/9</f>
        <v>36062.224444444444</v>
      </c>
      <c r="M24" s="20"/>
    </row>
    <row r="25" spans="2:19" s="24" customFormat="1" ht="10.25" customHeight="1">
      <c r="B25" s="27"/>
      <c r="C25" s="27"/>
      <c r="D25" s="28"/>
      <c r="E25" s="23"/>
      <c r="F25" s="23"/>
      <c r="G25" s="23"/>
      <c r="H25" s="23"/>
      <c r="I25" s="23"/>
      <c r="J25" s="29"/>
      <c r="K25" s="23"/>
      <c r="L25" s="20"/>
      <c r="M25" s="20"/>
    </row>
    <row r="26" spans="2:19" s="25" customFormat="1" ht="45.95" customHeight="1">
      <c r="B26" s="31" t="s">
        <v>1</v>
      </c>
      <c r="C26" s="31" t="s">
        <v>2</v>
      </c>
      <c r="D26" s="38" t="s">
        <v>3</v>
      </c>
      <c r="E26" s="37" t="s">
        <v>4</v>
      </c>
      <c r="F26" s="32" t="s">
        <v>5</v>
      </c>
      <c r="G26" s="32" t="s">
        <v>6</v>
      </c>
      <c r="H26" s="33" t="s">
        <v>7</v>
      </c>
      <c r="I26" s="33" t="s">
        <v>8</v>
      </c>
      <c r="J26" s="34" t="s">
        <v>9</v>
      </c>
      <c r="K26" s="33" t="s">
        <v>10</v>
      </c>
      <c r="L26" s="35" t="s">
        <v>11</v>
      </c>
      <c r="M26" s="36"/>
      <c r="N26" s="39"/>
      <c r="O26" s="40"/>
      <c r="P26" s="41"/>
      <c r="Q26" s="40"/>
      <c r="R26" s="42"/>
      <c r="S26" s="43"/>
    </row>
    <row r="27" spans="2:19" ht="18.5" customHeight="1">
      <c r="B27" s="13">
        <v>402</v>
      </c>
      <c r="C27" s="13" t="s">
        <v>12</v>
      </c>
      <c r="D27" s="14" t="s">
        <v>24</v>
      </c>
      <c r="E27" s="6">
        <v>882612300</v>
      </c>
      <c r="F27" s="5">
        <v>10908400</v>
      </c>
      <c r="G27" s="5">
        <v>869766300</v>
      </c>
      <c r="H27" s="5">
        <f t="shared" ref="H27:H35" si="8">SUM(F27+G27)</f>
        <v>880674700</v>
      </c>
      <c r="I27" s="5">
        <f t="shared" ref="I27:I35" si="9">SUM(E27-H27)</f>
        <v>1937600</v>
      </c>
      <c r="J27" s="7">
        <f t="shared" ref="J27:J35" si="10">SUM(H27/E27)</f>
        <v>0.99780469862022092</v>
      </c>
      <c r="K27" s="6">
        <f t="shared" ref="K27:K35" si="11">SUM(I27*0.2)</f>
        <v>387520</v>
      </c>
      <c r="L27" s="19">
        <v>2850440.31</v>
      </c>
    </row>
    <row r="28" spans="2:19" ht="18.5" customHeight="1">
      <c r="B28" s="13">
        <v>402</v>
      </c>
      <c r="C28" s="13" t="s">
        <v>14</v>
      </c>
      <c r="D28" s="14" t="s">
        <v>24</v>
      </c>
      <c r="E28" s="6">
        <v>1121437300</v>
      </c>
      <c r="F28" s="5">
        <v>145328000</v>
      </c>
      <c r="G28" s="5">
        <v>975875800</v>
      </c>
      <c r="H28" s="5">
        <f t="shared" si="8"/>
        <v>1121203800</v>
      </c>
      <c r="I28" s="5">
        <f t="shared" si="9"/>
        <v>233500</v>
      </c>
      <c r="J28" s="7">
        <f t="shared" si="10"/>
        <v>0.99979178506011879</v>
      </c>
      <c r="K28" s="6">
        <f t="shared" si="11"/>
        <v>46700</v>
      </c>
      <c r="L28" s="19">
        <v>141240.56</v>
      </c>
    </row>
    <row r="29" spans="2:19" ht="18.5" customHeight="1">
      <c r="B29" s="13">
        <v>402</v>
      </c>
      <c r="C29" s="13" t="s">
        <v>15</v>
      </c>
      <c r="D29" s="14" t="s">
        <v>24</v>
      </c>
      <c r="E29" s="6">
        <v>1135150400</v>
      </c>
      <c r="F29" s="5">
        <v>117556500</v>
      </c>
      <c r="G29" s="5">
        <v>1016988000</v>
      </c>
      <c r="H29" s="5">
        <f t="shared" si="8"/>
        <v>1134544500</v>
      </c>
      <c r="I29" s="5">
        <f t="shared" si="9"/>
        <v>605900</v>
      </c>
      <c r="J29" s="7">
        <f t="shared" si="10"/>
        <v>0.99946623813020719</v>
      </c>
      <c r="K29" s="6">
        <f t="shared" si="11"/>
        <v>121180</v>
      </c>
      <c r="L29" s="19">
        <v>69689.47</v>
      </c>
    </row>
    <row r="30" spans="2:19" ht="18.5" customHeight="1">
      <c r="B30" s="13">
        <v>402</v>
      </c>
      <c r="C30" s="13" t="s">
        <v>16</v>
      </c>
      <c r="D30" s="14" t="s">
        <v>24</v>
      </c>
      <c r="E30" s="6">
        <v>1043163800</v>
      </c>
      <c r="F30" s="5">
        <v>145954085</v>
      </c>
      <c r="G30" s="5">
        <v>896756000</v>
      </c>
      <c r="H30" s="5">
        <f t="shared" si="8"/>
        <v>1042710085</v>
      </c>
      <c r="I30" s="5">
        <f t="shared" si="9"/>
        <v>453715</v>
      </c>
      <c r="J30" s="7">
        <f t="shared" si="10"/>
        <v>0.999565058718487</v>
      </c>
      <c r="K30" s="6">
        <f t="shared" si="11"/>
        <v>90743</v>
      </c>
      <c r="L30" s="19">
        <v>58129.04</v>
      </c>
    </row>
    <row r="31" spans="2:19" ht="18.5" customHeight="1">
      <c r="B31" s="13">
        <v>402</v>
      </c>
      <c r="C31" s="13" t="s">
        <v>17</v>
      </c>
      <c r="D31" s="14" t="s">
        <v>24</v>
      </c>
      <c r="E31" s="6">
        <v>987506000</v>
      </c>
      <c r="F31" s="5">
        <v>146745015</v>
      </c>
      <c r="G31" s="5">
        <v>840565270</v>
      </c>
      <c r="H31" s="5">
        <f t="shared" si="8"/>
        <v>987310285</v>
      </c>
      <c r="I31" s="5">
        <f t="shared" si="9"/>
        <v>195715</v>
      </c>
      <c r="J31" s="7">
        <f t="shared" si="10"/>
        <v>0.99980180879913638</v>
      </c>
      <c r="K31" s="6">
        <f t="shared" si="11"/>
        <v>39143</v>
      </c>
      <c r="L31" s="19">
        <v>388196</v>
      </c>
    </row>
    <row r="32" spans="2:19" ht="18.5" customHeight="1">
      <c r="B32" s="13">
        <v>402</v>
      </c>
      <c r="C32" s="13" t="s">
        <v>18</v>
      </c>
      <c r="D32" s="14" t="s">
        <v>24</v>
      </c>
      <c r="E32" s="6">
        <v>1135018800</v>
      </c>
      <c r="F32" s="5">
        <v>201760400</v>
      </c>
      <c r="G32" s="5">
        <v>933073000</v>
      </c>
      <c r="H32" s="5">
        <f t="shared" si="8"/>
        <v>1134833400</v>
      </c>
      <c r="I32" s="5">
        <f t="shared" si="9"/>
        <v>185400</v>
      </c>
      <c r="J32" s="7">
        <f t="shared" si="10"/>
        <v>0.99983665468801042</v>
      </c>
      <c r="K32" s="6">
        <f t="shared" si="11"/>
        <v>37080</v>
      </c>
      <c r="L32" s="19">
        <v>1794809</v>
      </c>
    </row>
    <row r="33" spans="2:19" ht="18.5" customHeight="1">
      <c r="B33" s="13">
        <v>402</v>
      </c>
      <c r="C33" s="13" t="s">
        <v>19</v>
      </c>
      <c r="D33" s="14" t="s">
        <v>24</v>
      </c>
      <c r="E33" s="11">
        <v>1080048800</v>
      </c>
      <c r="F33" s="8">
        <v>208857842</v>
      </c>
      <c r="G33" s="8">
        <v>870855700</v>
      </c>
      <c r="H33" s="5">
        <f t="shared" si="8"/>
        <v>1079713542</v>
      </c>
      <c r="I33" s="5">
        <f t="shared" si="9"/>
        <v>335258</v>
      </c>
      <c r="J33" s="7">
        <f t="shared" si="10"/>
        <v>0.99968958995186141</v>
      </c>
      <c r="K33" s="6">
        <f t="shared" si="11"/>
        <v>67051.600000000006</v>
      </c>
      <c r="L33" s="4">
        <v>2041472</v>
      </c>
      <c r="M33" s="4"/>
    </row>
    <row r="34" spans="2:19" ht="18.5" customHeight="1">
      <c r="B34" s="13">
        <v>402</v>
      </c>
      <c r="C34" s="13" t="s">
        <v>20</v>
      </c>
      <c r="D34" s="14" t="s">
        <v>24</v>
      </c>
      <c r="E34" s="11">
        <v>1183637700</v>
      </c>
      <c r="F34" s="8">
        <v>1182774932</v>
      </c>
      <c r="G34" s="11">
        <v>0</v>
      </c>
      <c r="H34" s="5">
        <f t="shared" si="8"/>
        <v>1182774932</v>
      </c>
      <c r="I34" s="5">
        <f t="shared" si="9"/>
        <v>862768</v>
      </c>
      <c r="J34" s="7">
        <f t="shared" si="10"/>
        <v>0.99927108776612983</v>
      </c>
      <c r="K34" s="6">
        <f t="shared" si="11"/>
        <v>172553.60000000001</v>
      </c>
      <c r="L34" s="19">
        <v>2780731.5799999996</v>
      </c>
    </row>
    <row r="35" spans="2:19" ht="18.5" customHeight="1">
      <c r="B35" s="13">
        <v>402</v>
      </c>
      <c r="C35" s="13" t="s">
        <v>21</v>
      </c>
      <c r="D35" s="14" t="s">
        <v>24</v>
      </c>
      <c r="E35" s="5">
        <v>1387208000</v>
      </c>
      <c r="F35" s="5">
        <v>1386639959</v>
      </c>
      <c r="G35" s="5">
        <v>0</v>
      </c>
      <c r="H35" s="5">
        <f t="shared" si="8"/>
        <v>1386639959</v>
      </c>
      <c r="I35" s="5">
        <f t="shared" si="9"/>
        <v>568041</v>
      </c>
      <c r="J35" s="7">
        <f t="shared" si="10"/>
        <v>0.99959051490475836</v>
      </c>
      <c r="K35" s="6">
        <f t="shared" si="11"/>
        <v>113608.20000000001</v>
      </c>
      <c r="L35" s="19">
        <v>3153445.66</v>
      </c>
    </row>
    <row r="36" spans="2:19" s="24" customFormat="1" ht="18.5" customHeight="1">
      <c r="B36" s="27"/>
      <c r="C36" s="27"/>
      <c r="D36" s="28" t="s">
        <v>22</v>
      </c>
      <c r="E36" s="23">
        <f>SUM(E27:E35)/9</f>
        <v>1106198122.2222223</v>
      </c>
      <c r="F36" s="23">
        <f>SUM(F27:F35)/9</f>
        <v>394058348.1111111</v>
      </c>
      <c r="G36" s="23">
        <f>SUM(G27:G35)/9</f>
        <v>711542230</v>
      </c>
      <c r="H36" s="23">
        <f>SUM(H27:H35)/9</f>
        <v>1105600578.1111112</v>
      </c>
      <c r="I36" s="23">
        <f>SUM(I27:I35)/9</f>
        <v>597544.11111111112</v>
      </c>
      <c r="J36" s="29">
        <f>SUM(H36/E36)</f>
        <v>0.99945982179945236</v>
      </c>
      <c r="K36" s="23">
        <f>SUM(K27:K35)/9</f>
        <v>119508.82222222221</v>
      </c>
      <c r="L36" s="20">
        <f>SUM(L27:L35)/9</f>
        <v>1475350.4022222224</v>
      </c>
      <c r="M36" s="20"/>
    </row>
    <row r="37" spans="2:19" s="24" customFormat="1" ht="18.5" customHeight="1">
      <c r="B37" s="27"/>
      <c r="C37" s="27"/>
      <c r="D37" s="28"/>
      <c r="E37" s="23"/>
      <c r="F37" s="23"/>
      <c r="G37" s="23"/>
      <c r="H37" s="23"/>
      <c r="I37" s="23"/>
      <c r="J37" s="29"/>
      <c r="K37" s="23"/>
      <c r="L37" s="20"/>
      <c r="M37" s="20"/>
    </row>
    <row r="38" spans="2:19" s="25" customFormat="1" ht="45.95" customHeight="1">
      <c r="B38" s="31" t="s">
        <v>1</v>
      </c>
      <c r="C38" s="31" t="s">
        <v>2</v>
      </c>
      <c r="D38" s="38" t="s">
        <v>3</v>
      </c>
      <c r="E38" s="37" t="s">
        <v>4</v>
      </c>
      <c r="F38" s="32" t="s">
        <v>5</v>
      </c>
      <c r="G38" s="32" t="s">
        <v>6</v>
      </c>
      <c r="H38" s="33" t="s">
        <v>7</v>
      </c>
      <c r="I38" s="33" t="s">
        <v>8</v>
      </c>
      <c r="J38" s="34" t="s">
        <v>9</v>
      </c>
      <c r="K38" s="33" t="s">
        <v>10</v>
      </c>
      <c r="L38" s="35" t="s">
        <v>11</v>
      </c>
      <c r="M38" s="36"/>
      <c r="N38" s="39"/>
      <c r="O38" s="40"/>
      <c r="P38" s="41"/>
      <c r="Q38" s="40"/>
      <c r="R38" s="42"/>
      <c r="S38" s="43"/>
    </row>
    <row r="39" spans="2:19" ht="18.5" customHeight="1">
      <c r="B39" s="13">
        <v>406</v>
      </c>
      <c r="C39" s="13" t="s">
        <v>12</v>
      </c>
      <c r="D39" s="14" t="s">
        <v>25</v>
      </c>
      <c r="E39" s="6">
        <v>98536300</v>
      </c>
      <c r="F39" s="5">
        <v>83771701</v>
      </c>
      <c r="G39" s="5">
        <v>12586540</v>
      </c>
      <c r="H39" s="5">
        <f t="shared" ref="H39:H47" si="12">SUM(F39+G39)</f>
        <v>96358241</v>
      </c>
      <c r="I39" s="5">
        <f t="shared" ref="I39:I47" si="13">SUM(E39-H39)</f>
        <v>2178059</v>
      </c>
      <c r="J39" s="7">
        <f t="shared" ref="J39:J47" si="14">SUM(H39/E39)</f>
        <v>0.97789587187665861</v>
      </c>
      <c r="K39" s="6">
        <f t="shared" ref="K39:K47" si="15">SUM(I39*0.2)</f>
        <v>435611.80000000005</v>
      </c>
      <c r="L39" s="19">
        <v>263005.36</v>
      </c>
    </row>
    <row r="40" spans="2:19" ht="18.5" customHeight="1">
      <c r="B40" s="13">
        <v>406</v>
      </c>
      <c r="C40" s="13" t="s">
        <v>14</v>
      </c>
      <c r="D40" s="14" t="s">
        <v>25</v>
      </c>
      <c r="E40" s="6">
        <v>98536300</v>
      </c>
      <c r="F40" s="5">
        <v>84438859</v>
      </c>
      <c r="G40" s="5">
        <v>12828721</v>
      </c>
      <c r="H40" s="5">
        <f t="shared" si="12"/>
        <v>97267580</v>
      </c>
      <c r="I40" s="5">
        <f t="shared" si="13"/>
        <v>1268720</v>
      </c>
      <c r="J40" s="7">
        <f t="shared" si="14"/>
        <v>0.98712433894919949</v>
      </c>
      <c r="K40" s="6">
        <f t="shared" si="15"/>
        <v>253744</v>
      </c>
      <c r="L40" s="19">
        <v>273645.68000000005</v>
      </c>
    </row>
    <row r="41" spans="2:19" ht="18.5" customHeight="1">
      <c r="B41" s="13">
        <v>406</v>
      </c>
      <c r="C41" s="13" t="s">
        <v>15</v>
      </c>
      <c r="D41" s="14" t="s">
        <v>25</v>
      </c>
      <c r="E41" s="6">
        <v>102089170</v>
      </c>
      <c r="F41" s="5">
        <v>79461016</v>
      </c>
      <c r="G41" s="5">
        <v>12871622</v>
      </c>
      <c r="H41" s="5">
        <f t="shared" si="12"/>
        <v>92332638</v>
      </c>
      <c r="I41" s="5">
        <f t="shared" si="13"/>
        <v>9756532</v>
      </c>
      <c r="J41" s="7">
        <f t="shared" si="14"/>
        <v>0.90443127317030791</v>
      </c>
      <c r="K41" s="6">
        <f t="shared" si="15"/>
        <v>1951306.4000000001</v>
      </c>
      <c r="L41" s="19">
        <v>313440.68</v>
      </c>
    </row>
    <row r="42" spans="2:19" ht="18.5" customHeight="1">
      <c r="B42" s="13">
        <v>406</v>
      </c>
      <c r="C42" s="13" t="s">
        <v>16</v>
      </c>
      <c r="D42" s="14" t="s">
        <v>25</v>
      </c>
      <c r="E42" s="6">
        <v>102782000</v>
      </c>
      <c r="F42" s="5">
        <v>84517072</v>
      </c>
      <c r="G42" s="5">
        <v>16923003</v>
      </c>
      <c r="H42" s="5">
        <f t="shared" si="12"/>
        <v>101440075</v>
      </c>
      <c r="I42" s="5">
        <f t="shared" si="13"/>
        <v>1341925</v>
      </c>
      <c r="J42" s="7">
        <f t="shared" si="14"/>
        <v>0.98694396878830926</v>
      </c>
      <c r="K42" s="6">
        <f t="shared" si="15"/>
        <v>268385</v>
      </c>
      <c r="L42" s="19">
        <v>191635.81999999998</v>
      </c>
    </row>
    <row r="43" spans="2:19" ht="18.5" customHeight="1">
      <c r="B43" s="13">
        <v>406</v>
      </c>
      <c r="C43" s="13" t="s">
        <v>17</v>
      </c>
      <c r="D43" s="14" t="s">
        <v>25</v>
      </c>
      <c r="E43" s="6">
        <v>83192100</v>
      </c>
      <c r="F43" s="5">
        <v>67440551</v>
      </c>
      <c r="G43" s="5">
        <v>14656043</v>
      </c>
      <c r="H43" s="5">
        <f t="shared" si="12"/>
        <v>82096594</v>
      </c>
      <c r="I43" s="5">
        <f t="shared" si="13"/>
        <v>1095506</v>
      </c>
      <c r="J43" s="7">
        <f t="shared" si="14"/>
        <v>0.98683161021298893</v>
      </c>
      <c r="K43" s="6">
        <f t="shared" si="15"/>
        <v>219101.2</v>
      </c>
      <c r="L43" s="19">
        <v>409081</v>
      </c>
    </row>
    <row r="44" spans="2:19" ht="18.5" customHeight="1">
      <c r="B44" s="13">
        <v>406</v>
      </c>
      <c r="C44" s="13" t="s">
        <v>18</v>
      </c>
      <c r="D44" s="14" t="s">
        <v>25</v>
      </c>
      <c r="E44" s="6">
        <v>96513400</v>
      </c>
      <c r="F44" s="5">
        <v>79965630</v>
      </c>
      <c r="G44" s="5">
        <v>15178969</v>
      </c>
      <c r="H44" s="5">
        <f t="shared" si="12"/>
        <v>95144599</v>
      </c>
      <c r="I44" s="5">
        <f t="shared" si="13"/>
        <v>1368801</v>
      </c>
      <c r="J44" s="7">
        <f t="shared" si="14"/>
        <v>0.98581750306175098</v>
      </c>
      <c r="K44" s="6">
        <f t="shared" si="15"/>
        <v>273760.2</v>
      </c>
      <c r="L44" s="19">
        <v>272359</v>
      </c>
    </row>
    <row r="45" spans="2:19" s="17" customFormat="1" ht="18.5" customHeight="1">
      <c r="B45" s="16">
        <v>406</v>
      </c>
      <c r="C45" s="16" t="s">
        <v>19</v>
      </c>
      <c r="D45" s="17" t="s">
        <v>25</v>
      </c>
      <c r="E45" s="11">
        <v>103000000</v>
      </c>
      <c r="F45" s="8">
        <v>86440915</v>
      </c>
      <c r="G45" s="8">
        <v>15470012</v>
      </c>
      <c r="H45" s="5">
        <f t="shared" si="12"/>
        <v>101910927</v>
      </c>
      <c r="I45" s="5">
        <f t="shared" si="13"/>
        <v>1089073</v>
      </c>
      <c r="J45" s="7">
        <f t="shared" si="14"/>
        <v>0.98942647572815534</v>
      </c>
      <c r="K45" s="6">
        <f t="shared" si="15"/>
        <v>217814.6</v>
      </c>
      <c r="L45" s="4">
        <v>357792</v>
      </c>
      <c r="M45" s="4"/>
    </row>
    <row r="46" spans="2:19" s="17" customFormat="1" ht="18.5" customHeight="1">
      <c r="B46" s="16">
        <v>406</v>
      </c>
      <c r="C46" s="16" t="s">
        <v>20</v>
      </c>
      <c r="D46" s="17" t="s">
        <v>25</v>
      </c>
      <c r="E46" s="11">
        <v>113405900</v>
      </c>
      <c r="F46" s="11">
        <v>91702900</v>
      </c>
      <c r="G46" s="11">
        <v>15847000</v>
      </c>
      <c r="H46" s="5">
        <f t="shared" si="12"/>
        <v>107549900</v>
      </c>
      <c r="I46" s="5">
        <f t="shared" si="13"/>
        <v>5856000</v>
      </c>
      <c r="J46" s="7">
        <f t="shared" si="14"/>
        <v>0.94836247496823356</v>
      </c>
      <c r="K46" s="6">
        <f t="shared" si="15"/>
        <v>1171200</v>
      </c>
      <c r="L46" s="26">
        <v>324844.58</v>
      </c>
      <c r="M46" s="26"/>
    </row>
    <row r="47" spans="2:19" s="17" customFormat="1" ht="18.5" customHeight="1">
      <c r="B47" s="16">
        <v>406</v>
      </c>
      <c r="C47" s="16" t="s">
        <v>21</v>
      </c>
      <c r="D47" s="17" t="s">
        <v>25</v>
      </c>
      <c r="E47" s="8">
        <v>119467000</v>
      </c>
      <c r="F47" s="8">
        <v>97337000</v>
      </c>
      <c r="G47" s="8">
        <v>16614800</v>
      </c>
      <c r="H47" s="5">
        <f t="shared" si="12"/>
        <v>113951800</v>
      </c>
      <c r="I47" s="5">
        <f t="shared" si="13"/>
        <v>5515200</v>
      </c>
      <c r="J47" s="7">
        <f t="shared" si="14"/>
        <v>0.95383495023730402</v>
      </c>
      <c r="K47" s="6">
        <f t="shared" si="15"/>
        <v>1103040</v>
      </c>
      <c r="L47" s="26">
        <v>321424.24</v>
      </c>
      <c r="M47" s="26"/>
    </row>
    <row r="48" spans="2:19" s="24" customFormat="1" ht="18.5" customHeight="1">
      <c r="B48" s="27"/>
      <c r="C48" s="27"/>
      <c r="D48" s="28" t="s">
        <v>22</v>
      </c>
      <c r="E48" s="23">
        <f>SUM(E39:E47)/9</f>
        <v>101946907.77777778</v>
      </c>
      <c r="F48" s="23">
        <f>SUM(F39:F47)/9</f>
        <v>83897293.777777776</v>
      </c>
      <c r="G48" s="23">
        <f>SUM(G39:G47)/9</f>
        <v>14775190</v>
      </c>
      <c r="H48" s="23">
        <f>SUM(H39:H47)/9</f>
        <v>98672483.777777776</v>
      </c>
      <c r="I48" s="23">
        <f>SUM(I39:I47)/9</f>
        <v>3274424</v>
      </c>
      <c r="J48" s="29">
        <f>SUM(H48/E48)</f>
        <v>0.96788108564177799</v>
      </c>
      <c r="K48" s="23">
        <f>SUM(K39:K47)/9</f>
        <v>654884.80000000016</v>
      </c>
      <c r="L48" s="20">
        <f>SUM(L39:L47)/9</f>
        <v>303025.37333333335</v>
      </c>
      <c r="M48" s="20"/>
    </row>
    <row r="49" spans="2:19" s="24" customFormat="1" ht="18.5" customHeight="1">
      <c r="B49" s="27"/>
      <c r="C49" s="27"/>
      <c r="D49" s="28"/>
      <c r="E49" s="23"/>
      <c r="F49" s="23"/>
      <c r="G49" s="23"/>
      <c r="H49" s="23"/>
      <c r="I49" s="23"/>
      <c r="J49" s="29"/>
      <c r="K49" s="23"/>
      <c r="L49" s="20"/>
      <c r="M49" s="20"/>
    </row>
    <row r="50" spans="2:19" s="25" customFormat="1" ht="45.95" customHeight="1">
      <c r="B50" s="31" t="s">
        <v>1</v>
      </c>
      <c r="C50" s="31" t="s">
        <v>2</v>
      </c>
      <c r="D50" s="38" t="s">
        <v>3</v>
      </c>
      <c r="E50" s="37" t="s">
        <v>4</v>
      </c>
      <c r="F50" s="32" t="s">
        <v>5</v>
      </c>
      <c r="G50" s="32" t="s">
        <v>6</v>
      </c>
      <c r="H50" s="33" t="s">
        <v>7</v>
      </c>
      <c r="I50" s="33" t="s">
        <v>8</v>
      </c>
      <c r="J50" s="34" t="s">
        <v>9</v>
      </c>
      <c r="K50" s="33" t="s">
        <v>10</v>
      </c>
      <c r="L50" s="35" t="s">
        <v>11</v>
      </c>
      <c r="M50" s="36"/>
      <c r="N50" s="39"/>
      <c r="O50" s="40"/>
      <c r="P50" s="41"/>
      <c r="Q50" s="40"/>
      <c r="R50" s="42"/>
      <c r="S50" s="43"/>
    </row>
    <row r="51" spans="2:19" ht="18.5" customHeight="1">
      <c r="B51" s="13">
        <v>416</v>
      </c>
      <c r="C51" s="13" t="s">
        <v>12</v>
      </c>
      <c r="D51" s="14" t="s">
        <v>26</v>
      </c>
      <c r="E51" s="6">
        <v>3587459561</v>
      </c>
      <c r="F51" s="5">
        <v>3365325606</v>
      </c>
      <c r="G51" s="5">
        <v>125238578</v>
      </c>
      <c r="H51" s="5">
        <f t="shared" ref="H51:H59" si="16">SUM(F51+G51)</f>
        <v>3490564184</v>
      </c>
      <c r="I51" s="5">
        <f t="shared" ref="I51:I59" si="17">SUM(E51-H51)</f>
        <v>96895377</v>
      </c>
      <c r="J51" s="7">
        <f t="shared" ref="J51:J59" si="18">SUM(H51/E51)</f>
        <v>0.97299053122344037</v>
      </c>
      <c r="K51" s="6">
        <f t="shared" ref="K51:K59" si="19">SUM(I51*0.2)</f>
        <v>19379075.400000002</v>
      </c>
      <c r="L51" s="19">
        <v>25246829.32</v>
      </c>
    </row>
    <row r="52" spans="2:19" ht="18.5" customHeight="1">
      <c r="B52" s="13">
        <v>416</v>
      </c>
      <c r="C52" s="13" t="s">
        <v>14</v>
      </c>
      <c r="D52" s="14" t="s">
        <v>26</v>
      </c>
      <c r="E52" s="6">
        <v>5366090081</v>
      </c>
      <c r="F52" s="5">
        <v>5113318989</v>
      </c>
      <c r="G52" s="5">
        <v>154094100</v>
      </c>
      <c r="H52" s="5">
        <f t="shared" si="16"/>
        <v>5267413089</v>
      </c>
      <c r="I52" s="5">
        <f t="shared" si="17"/>
        <v>98676992</v>
      </c>
      <c r="J52" s="7">
        <f t="shared" si="18"/>
        <v>0.98161100717459238</v>
      </c>
      <c r="K52" s="6">
        <f t="shared" si="19"/>
        <v>19735398.400000002</v>
      </c>
      <c r="L52" s="19">
        <v>31668197.309999999</v>
      </c>
    </row>
    <row r="53" spans="2:19" ht="18.5" customHeight="1">
      <c r="B53" s="13">
        <v>416</v>
      </c>
      <c r="C53" s="13" t="s">
        <v>15</v>
      </c>
      <c r="D53" s="14" t="s">
        <v>26</v>
      </c>
      <c r="E53" s="6">
        <v>5735452572</v>
      </c>
      <c r="F53" s="5">
        <v>5407136863</v>
      </c>
      <c r="G53" s="5">
        <v>189976331</v>
      </c>
      <c r="H53" s="5">
        <f t="shared" si="16"/>
        <v>5597113194</v>
      </c>
      <c r="I53" s="5">
        <f t="shared" si="17"/>
        <v>138339378</v>
      </c>
      <c r="J53" s="7">
        <f t="shared" si="18"/>
        <v>0.97587995432559915</v>
      </c>
      <c r="K53" s="6">
        <f t="shared" si="19"/>
        <v>27667875.600000001</v>
      </c>
      <c r="L53" s="19">
        <v>37799446.25</v>
      </c>
    </row>
    <row r="54" spans="2:19" ht="18.5" customHeight="1">
      <c r="B54" s="13">
        <v>416</v>
      </c>
      <c r="C54" s="13" t="s">
        <v>16</v>
      </c>
      <c r="D54" s="14" t="s">
        <v>26</v>
      </c>
      <c r="E54" s="6">
        <v>4529660000</v>
      </c>
      <c r="F54" s="5">
        <v>4133543500</v>
      </c>
      <c r="G54" s="5">
        <v>277100200</v>
      </c>
      <c r="H54" s="5">
        <f t="shared" si="16"/>
        <v>4410643700</v>
      </c>
      <c r="I54" s="5">
        <f t="shared" si="17"/>
        <v>119016300</v>
      </c>
      <c r="J54" s="7">
        <f t="shared" si="18"/>
        <v>0.97372511402621831</v>
      </c>
      <c r="K54" s="6">
        <f t="shared" si="19"/>
        <v>23803260</v>
      </c>
      <c r="L54" s="19">
        <v>23954957.019999996</v>
      </c>
    </row>
    <row r="55" spans="2:19" ht="18.5" customHeight="1">
      <c r="B55" s="13">
        <v>416</v>
      </c>
      <c r="C55" s="13" t="s">
        <v>17</v>
      </c>
      <c r="D55" s="14" t="s">
        <v>26</v>
      </c>
      <c r="E55" s="6">
        <v>5118335200</v>
      </c>
      <c r="F55" s="5">
        <v>4484832000</v>
      </c>
      <c r="G55" s="5">
        <v>382052500</v>
      </c>
      <c r="H55" s="5">
        <f t="shared" si="16"/>
        <v>4866884500</v>
      </c>
      <c r="I55" s="5">
        <f t="shared" si="17"/>
        <v>251450700</v>
      </c>
      <c r="J55" s="7">
        <f t="shared" si="18"/>
        <v>0.95087256106243301</v>
      </c>
      <c r="K55" s="6">
        <f t="shared" si="19"/>
        <v>50290140</v>
      </c>
      <c r="L55" s="19">
        <v>21079382</v>
      </c>
    </row>
    <row r="56" spans="2:19" ht="18.5" customHeight="1">
      <c r="B56" s="13">
        <v>416</v>
      </c>
      <c r="C56" s="13" t="s">
        <v>18</v>
      </c>
      <c r="D56" s="14" t="s">
        <v>26</v>
      </c>
      <c r="E56" s="6">
        <v>9072358000</v>
      </c>
      <c r="F56" s="5">
        <v>8828684601</v>
      </c>
      <c r="G56" s="5">
        <v>98345499</v>
      </c>
      <c r="H56" s="5">
        <f t="shared" si="16"/>
        <v>8927030100</v>
      </c>
      <c r="I56" s="5">
        <f t="shared" si="17"/>
        <v>145327900</v>
      </c>
      <c r="J56" s="7">
        <f t="shared" si="18"/>
        <v>0.98398124280369004</v>
      </c>
      <c r="K56" s="6">
        <f t="shared" si="19"/>
        <v>29065580</v>
      </c>
      <c r="L56" s="19">
        <v>24536074</v>
      </c>
    </row>
    <row r="57" spans="2:19" ht="18.5" customHeight="1">
      <c r="B57" s="13">
        <v>416</v>
      </c>
      <c r="C57" s="13" t="s">
        <v>19</v>
      </c>
      <c r="D57" s="14" t="s">
        <v>26</v>
      </c>
      <c r="E57" s="8">
        <v>9193082801</v>
      </c>
      <c r="F57" s="8">
        <v>9001159906</v>
      </c>
      <c r="G57" s="8">
        <v>79463450</v>
      </c>
      <c r="H57" s="5">
        <f t="shared" si="16"/>
        <v>9080623356</v>
      </c>
      <c r="I57" s="5">
        <f t="shared" si="17"/>
        <v>112459445</v>
      </c>
      <c r="J57" s="7">
        <f t="shared" si="18"/>
        <v>0.98776694962567213</v>
      </c>
      <c r="K57" s="6">
        <f t="shared" si="19"/>
        <v>22491889</v>
      </c>
      <c r="L57" s="4">
        <v>20659527</v>
      </c>
      <c r="M57" s="4"/>
    </row>
    <row r="58" spans="2:19" ht="18.5" customHeight="1">
      <c r="B58" s="13">
        <v>416</v>
      </c>
      <c r="C58" s="13" t="s">
        <v>20</v>
      </c>
      <c r="D58" s="14" t="s">
        <v>26</v>
      </c>
      <c r="E58" s="8">
        <v>6263555568</v>
      </c>
      <c r="F58" s="8">
        <v>5867381143</v>
      </c>
      <c r="G58" s="8">
        <v>285867491</v>
      </c>
      <c r="H58" s="5">
        <f t="shared" si="16"/>
        <v>6153248634</v>
      </c>
      <c r="I58" s="5">
        <f t="shared" si="17"/>
        <v>110306934</v>
      </c>
      <c r="J58" s="7">
        <f t="shared" si="18"/>
        <v>0.98238908670922487</v>
      </c>
      <c r="K58" s="6">
        <f t="shared" si="19"/>
        <v>22061386.800000001</v>
      </c>
      <c r="L58" s="19">
        <v>15431476.18</v>
      </c>
    </row>
    <row r="59" spans="2:19" ht="18.5" customHeight="1">
      <c r="B59" s="13">
        <v>416</v>
      </c>
      <c r="C59" s="13" t="s">
        <v>21</v>
      </c>
      <c r="D59" s="14" t="s">
        <v>26</v>
      </c>
      <c r="E59" s="5">
        <v>6437534248.8599977</v>
      </c>
      <c r="F59" s="5">
        <v>6243506967.6499968</v>
      </c>
      <c r="G59" s="5">
        <v>69116067.086999997</v>
      </c>
      <c r="H59" s="5">
        <f t="shared" si="16"/>
        <v>6312623034.7369967</v>
      </c>
      <c r="I59" s="5">
        <f t="shared" si="17"/>
        <v>124911214.1230011</v>
      </c>
      <c r="J59" s="7">
        <f t="shared" si="18"/>
        <v>0.98059641948388532</v>
      </c>
      <c r="K59" s="6">
        <f t="shared" si="19"/>
        <v>24982242.82460022</v>
      </c>
      <c r="L59" s="19">
        <v>26342608.090000004</v>
      </c>
    </row>
    <row r="60" spans="2:19" s="24" customFormat="1" ht="18.5" customHeight="1">
      <c r="B60" s="27"/>
      <c r="C60" s="27"/>
      <c r="D60" s="28" t="s">
        <v>22</v>
      </c>
      <c r="E60" s="23">
        <f>SUM(E51:E59)/9</f>
        <v>6144836447.9844446</v>
      </c>
      <c r="F60" s="23">
        <f>SUM(F51:F59)/9</f>
        <v>5827209952.8499994</v>
      </c>
      <c r="G60" s="23">
        <f>SUM(G51:G59)/9</f>
        <v>184583801.78744444</v>
      </c>
      <c r="H60" s="23">
        <f>SUM(H51:H59)/9</f>
        <v>6011793754.6374445</v>
      </c>
      <c r="I60" s="23">
        <f>SUM(I51:I59)/9</f>
        <v>133042693.34700012</v>
      </c>
      <c r="J60" s="29">
        <f>SUM(H60/E60)</f>
        <v>0.97834886339560112</v>
      </c>
      <c r="K60" s="23">
        <f>SUM(K51:K59)/9</f>
        <v>26608538.669400025</v>
      </c>
      <c r="L60" s="20">
        <f>SUM(L51:L59)/9</f>
        <v>25190944.129999999</v>
      </c>
      <c r="M60" s="20"/>
    </row>
    <row r="61" spans="2:19" s="24" customFormat="1" ht="18.5" customHeight="1">
      <c r="B61" s="27"/>
      <c r="C61" s="27"/>
      <c r="D61" s="28"/>
      <c r="E61" s="23"/>
      <c r="F61" s="23"/>
      <c r="G61" s="23"/>
      <c r="H61" s="23"/>
      <c r="I61" s="23"/>
      <c r="J61" s="29"/>
      <c r="K61" s="23"/>
      <c r="L61" s="20"/>
      <c r="M61" s="20"/>
    </row>
    <row r="62" spans="2:19" s="25" customFormat="1" ht="45.95" customHeight="1">
      <c r="B62" s="31" t="s">
        <v>1</v>
      </c>
      <c r="C62" s="31" t="s">
        <v>2</v>
      </c>
      <c r="D62" s="38" t="s">
        <v>3</v>
      </c>
      <c r="E62" s="37" t="s">
        <v>4</v>
      </c>
      <c r="F62" s="32" t="s">
        <v>5</v>
      </c>
      <c r="G62" s="32" t="s">
        <v>6</v>
      </c>
      <c r="H62" s="33" t="s">
        <v>7</v>
      </c>
      <c r="I62" s="33" t="s">
        <v>8</v>
      </c>
      <c r="J62" s="34" t="s">
        <v>9</v>
      </c>
      <c r="K62" s="33" t="s">
        <v>10</v>
      </c>
      <c r="L62" s="35" t="s">
        <v>11</v>
      </c>
      <c r="M62" s="36"/>
      <c r="N62" s="39"/>
      <c r="O62" s="40"/>
      <c r="P62" s="41"/>
      <c r="Q62" s="40"/>
      <c r="R62" s="42"/>
      <c r="S62" s="43"/>
    </row>
    <row r="63" spans="2:19" ht="18.5" customHeight="1">
      <c r="B63" s="13">
        <v>418</v>
      </c>
      <c r="C63" s="13" t="s">
        <v>12</v>
      </c>
      <c r="D63" s="14" t="s">
        <v>27</v>
      </c>
      <c r="E63" s="6">
        <v>1199615400</v>
      </c>
      <c r="F63" s="5">
        <v>268107992</v>
      </c>
      <c r="G63" s="5">
        <v>919050010</v>
      </c>
      <c r="H63" s="5">
        <f t="shared" ref="H63:H71" si="20">SUM(F63+G63)</f>
        <v>1187158002</v>
      </c>
      <c r="I63" s="5">
        <f t="shared" ref="I63:I71" si="21">SUM(E63-H63)</f>
        <v>12457398</v>
      </c>
      <c r="J63" s="7">
        <f t="shared" ref="J63:J71" si="22">SUM(H63/E63)</f>
        <v>0.98961550676991972</v>
      </c>
      <c r="K63" s="6">
        <f t="shared" ref="K63:K71" si="23">SUM(I63*0.2)</f>
        <v>2491479.6</v>
      </c>
      <c r="L63" s="19">
        <v>4899384.3599999994</v>
      </c>
    </row>
    <row r="64" spans="2:19" ht="18.5" customHeight="1">
      <c r="B64" s="13">
        <v>418</v>
      </c>
      <c r="C64" s="13" t="s">
        <v>14</v>
      </c>
      <c r="D64" s="14" t="s">
        <v>27</v>
      </c>
      <c r="E64" s="6">
        <v>1181615700</v>
      </c>
      <c r="F64" s="5">
        <v>586558697</v>
      </c>
      <c r="G64" s="5">
        <v>588728871</v>
      </c>
      <c r="H64" s="5">
        <f t="shared" si="20"/>
        <v>1175287568</v>
      </c>
      <c r="I64" s="5">
        <f t="shared" si="21"/>
        <v>6328132</v>
      </c>
      <c r="J64" s="7">
        <f t="shared" si="22"/>
        <v>0.99464450920887393</v>
      </c>
      <c r="K64" s="6">
        <f t="shared" si="23"/>
        <v>1265626.4000000001</v>
      </c>
      <c r="L64" s="19">
        <v>4981982.84</v>
      </c>
    </row>
    <row r="65" spans="2:19" ht="18.5" customHeight="1">
      <c r="B65" s="13">
        <v>418</v>
      </c>
      <c r="C65" s="13" t="s">
        <v>15</v>
      </c>
      <c r="D65" s="14" t="s">
        <v>27</v>
      </c>
      <c r="E65" s="6">
        <v>1181621700</v>
      </c>
      <c r="F65" s="5">
        <v>1149691512</v>
      </c>
      <c r="G65" s="5">
        <v>21003214.199999999</v>
      </c>
      <c r="H65" s="5">
        <f t="shared" si="20"/>
        <v>1170694726.2</v>
      </c>
      <c r="I65" s="5">
        <f t="shared" si="21"/>
        <v>10926973.799999952</v>
      </c>
      <c r="J65" s="7">
        <f t="shared" si="22"/>
        <v>0.99075256167011827</v>
      </c>
      <c r="K65" s="6">
        <f t="shared" si="23"/>
        <v>2185394.7599999905</v>
      </c>
      <c r="L65" s="19">
        <v>5245680.55</v>
      </c>
    </row>
    <row r="66" spans="2:19" ht="18.5" customHeight="1">
      <c r="B66" s="13">
        <v>418</v>
      </c>
      <c r="C66" s="13" t="s">
        <v>16</v>
      </c>
      <c r="D66" s="14" t="s">
        <v>27</v>
      </c>
      <c r="E66" s="6">
        <v>1165961800</v>
      </c>
      <c r="F66" s="5">
        <v>1121769533</v>
      </c>
      <c r="G66" s="5">
        <v>31561755</v>
      </c>
      <c r="H66" s="5">
        <f t="shared" si="20"/>
        <v>1153331288</v>
      </c>
      <c r="I66" s="5">
        <f t="shared" si="21"/>
        <v>12630512</v>
      </c>
      <c r="J66" s="7">
        <f t="shared" si="22"/>
        <v>0.98916730205054748</v>
      </c>
      <c r="K66" s="6">
        <f t="shared" si="23"/>
        <v>2526102.4000000004</v>
      </c>
      <c r="L66" s="19">
        <v>5489904.2399999993</v>
      </c>
    </row>
    <row r="67" spans="2:19" ht="18.5" customHeight="1">
      <c r="B67" s="13">
        <v>418</v>
      </c>
      <c r="C67" s="13" t="s">
        <v>17</v>
      </c>
      <c r="D67" s="14" t="s">
        <v>27</v>
      </c>
      <c r="E67" s="6">
        <v>1246535000</v>
      </c>
      <c r="F67" s="5">
        <v>1197780733</v>
      </c>
      <c r="G67" s="5">
        <v>36725222</v>
      </c>
      <c r="H67" s="5">
        <f t="shared" si="20"/>
        <v>1234505955</v>
      </c>
      <c r="I67" s="5">
        <f t="shared" si="21"/>
        <v>12029045</v>
      </c>
      <c r="J67" s="7">
        <f t="shared" si="22"/>
        <v>0.99035001423947178</v>
      </c>
      <c r="K67" s="6">
        <f t="shared" si="23"/>
        <v>2405809</v>
      </c>
      <c r="L67" s="19">
        <v>3594217</v>
      </c>
    </row>
    <row r="68" spans="2:19" ht="18.5" customHeight="1">
      <c r="B68" s="13">
        <v>418</v>
      </c>
      <c r="C68" s="13" t="s">
        <v>18</v>
      </c>
      <c r="D68" s="14" t="s">
        <v>27</v>
      </c>
      <c r="E68" s="6">
        <v>1178122300</v>
      </c>
      <c r="F68" s="5">
        <v>1121477759</v>
      </c>
      <c r="G68" s="5">
        <v>50405641</v>
      </c>
      <c r="H68" s="5">
        <f t="shared" si="20"/>
        <v>1171883400</v>
      </c>
      <c r="I68" s="5">
        <f t="shared" si="21"/>
        <v>6238900</v>
      </c>
      <c r="J68" s="7">
        <f t="shared" si="22"/>
        <v>0.99470436982646027</v>
      </c>
      <c r="K68" s="6">
        <f t="shared" si="23"/>
        <v>1247780</v>
      </c>
      <c r="L68" s="19">
        <v>5612002</v>
      </c>
    </row>
    <row r="69" spans="2:19" ht="18.5" customHeight="1">
      <c r="B69" s="13">
        <v>418</v>
      </c>
      <c r="C69" s="13" t="s">
        <v>19</v>
      </c>
      <c r="D69" s="14" t="s">
        <v>27</v>
      </c>
      <c r="E69" s="11">
        <v>1175462364</v>
      </c>
      <c r="F69" s="8">
        <v>1107958794</v>
      </c>
      <c r="G69" s="8">
        <v>53286091</v>
      </c>
      <c r="H69" s="5">
        <f t="shared" si="20"/>
        <v>1161244885</v>
      </c>
      <c r="I69" s="5">
        <f t="shared" si="21"/>
        <v>14217479</v>
      </c>
      <c r="J69" s="7">
        <f t="shared" si="22"/>
        <v>0.98790477735789084</v>
      </c>
      <c r="K69" s="6">
        <f t="shared" si="23"/>
        <v>2843495.8000000003</v>
      </c>
      <c r="L69" s="4">
        <v>4955085</v>
      </c>
      <c r="M69" s="4"/>
    </row>
    <row r="70" spans="2:19" ht="18.5" customHeight="1">
      <c r="B70" s="13">
        <v>418</v>
      </c>
      <c r="C70" s="13" t="s">
        <v>20</v>
      </c>
      <c r="D70" s="14" t="s">
        <v>27</v>
      </c>
      <c r="E70" s="11">
        <v>1311748700</v>
      </c>
      <c r="F70" s="8">
        <v>339508535</v>
      </c>
      <c r="G70" s="8">
        <v>930056016</v>
      </c>
      <c r="H70" s="5">
        <f t="shared" si="20"/>
        <v>1269564551</v>
      </c>
      <c r="I70" s="5">
        <f t="shared" si="21"/>
        <v>42184149</v>
      </c>
      <c r="J70" s="7">
        <f t="shared" si="22"/>
        <v>0.96784128774055578</v>
      </c>
      <c r="K70" s="6">
        <f t="shared" si="23"/>
        <v>8436829.8000000007</v>
      </c>
      <c r="L70" s="19">
        <v>10619224.5</v>
      </c>
    </row>
    <row r="71" spans="2:19" ht="18.5" customHeight="1">
      <c r="B71" s="13">
        <v>418</v>
      </c>
      <c r="C71" s="13" t="s">
        <v>21</v>
      </c>
      <c r="D71" s="14" t="s">
        <v>27</v>
      </c>
      <c r="E71" s="5">
        <v>1438111399.9954638</v>
      </c>
      <c r="F71" s="5">
        <v>357815324.21322721</v>
      </c>
      <c r="G71" s="5">
        <v>1035276494.1186566</v>
      </c>
      <c r="H71" s="5">
        <f t="shared" si="20"/>
        <v>1393091818.3318839</v>
      </c>
      <c r="I71" s="5">
        <f t="shared" si="21"/>
        <v>45019581.663579941</v>
      </c>
      <c r="J71" s="7">
        <f t="shared" si="22"/>
        <v>0.96869534469741225</v>
      </c>
      <c r="K71" s="6">
        <f t="shared" si="23"/>
        <v>9003916.3327159882</v>
      </c>
      <c r="L71" s="19">
        <v>10859132.559999999</v>
      </c>
    </row>
    <row r="72" spans="2:19" s="24" customFormat="1" ht="18.5" customHeight="1">
      <c r="B72" s="27"/>
      <c r="C72" s="27"/>
      <c r="D72" s="28" t="s">
        <v>22</v>
      </c>
      <c r="E72" s="23">
        <f>SUM(E63:E71)/9</f>
        <v>1230977151.5550516</v>
      </c>
      <c r="F72" s="23">
        <f>SUM(F63:F71)/9</f>
        <v>805629875.46813631</v>
      </c>
      <c r="G72" s="23">
        <f>SUM(G63:G71)/9</f>
        <v>407343701.59096181</v>
      </c>
      <c r="H72" s="23">
        <f>SUM(H63:H71)/9</f>
        <v>1212973577.0590982</v>
      </c>
      <c r="I72" s="23">
        <f>SUM(I63:I71)/9</f>
        <v>18003574.495953321</v>
      </c>
      <c r="J72" s="29">
        <f>SUM(H72/E72)</f>
        <v>0.9853745664789878</v>
      </c>
      <c r="K72" s="23">
        <f>SUM(K63:K71)/9</f>
        <v>3600714.8991906643</v>
      </c>
      <c r="L72" s="20">
        <f>SUM(L63:L71)/9</f>
        <v>6250734.7833333332</v>
      </c>
      <c r="M72" s="20"/>
    </row>
    <row r="73" spans="2:19" s="24" customFormat="1" ht="18.5" customHeight="1">
      <c r="B73" s="27"/>
      <c r="C73" s="27"/>
      <c r="D73" s="28"/>
      <c r="E73" s="23"/>
      <c r="F73" s="23"/>
      <c r="G73" s="23"/>
      <c r="H73" s="23"/>
      <c r="I73" s="23"/>
      <c r="J73" s="29"/>
      <c r="K73" s="23"/>
      <c r="L73" s="20"/>
      <c r="M73" s="20"/>
    </row>
    <row r="74" spans="2:19" s="25" customFormat="1" ht="45.95" customHeight="1">
      <c r="B74" s="31" t="s">
        <v>1</v>
      </c>
      <c r="C74" s="31" t="s">
        <v>2</v>
      </c>
      <c r="D74" s="38" t="s">
        <v>3</v>
      </c>
      <c r="E74" s="37" t="s">
        <v>4</v>
      </c>
      <c r="F74" s="32" t="s">
        <v>5</v>
      </c>
      <c r="G74" s="32" t="s">
        <v>6</v>
      </c>
      <c r="H74" s="33" t="s">
        <v>7</v>
      </c>
      <c r="I74" s="33" t="s">
        <v>8</v>
      </c>
      <c r="J74" s="34" t="s">
        <v>9</v>
      </c>
      <c r="K74" s="33" t="s">
        <v>10</v>
      </c>
      <c r="L74" s="35" t="s">
        <v>11</v>
      </c>
      <c r="M74" s="36"/>
      <c r="N74" s="39"/>
      <c r="O74" s="40"/>
      <c r="P74" s="41"/>
      <c r="Q74" s="40"/>
      <c r="R74" s="42"/>
      <c r="S74" s="43"/>
    </row>
    <row r="75" spans="2:19" ht="18.5" customHeight="1">
      <c r="B75" s="13">
        <v>420</v>
      </c>
      <c r="C75" s="13" t="s">
        <v>12</v>
      </c>
      <c r="D75" s="14" t="s">
        <v>28</v>
      </c>
      <c r="E75" s="6">
        <v>3318731360</v>
      </c>
      <c r="F75" s="5">
        <v>3062357752</v>
      </c>
      <c r="G75" s="5">
        <v>240639018</v>
      </c>
      <c r="H75" s="5">
        <f t="shared" ref="H75:H83" si="24">SUM(F75+G75)</f>
        <v>3302996770</v>
      </c>
      <c r="I75" s="5">
        <f t="shared" ref="I75:I83" si="25">SUM(E75-H75)</f>
        <v>15734590</v>
      </c>
      <c r="J75" s="7">
        <f t="shared" ref="J75:J83" si="26">SUM(H75/E75)</f>
        <v>0.99525885397364611</v>
      </c>
      <c r="K75" s="6">
        <f t="shared" ref="K75:K83" si="27">SUM(I75*0.2)</f>
        <v>3146918</v>
      </c>
      <c r="L75" s="19">
        <v>3572280.29</v>
      </c>
    </row>
    <row r="76" spans="2:19" ht="18.5" customHeight="1">
      <c r="B76" s="13">
        <v>420</v>
      </c>
      <c r="C76" s="13" t="s">
        <v>14</v>
      </c>
      <c r="D76" s="14" t="s">
        <v>28</v>
      </c>
      <c r="E76" s="6">
        <v>3248933529</v>
      </c>
      <c r="F76" s="5">
        <v>3004242932</v>
      </c>
      <c r="G76" s="5">
        <v>236235436</v>
      </c>
      <c r="H76" s="5">
        <f t="shared" si="24"/>
        <v>3240478368</v>
      </c>
      <c r="I76" s="5">
        <f t="shared" si="25"/>
        <v>8455161</v>
      </c>
      <c r="J76" s="7">
        <f t="shared" si="26"/>
        <v>0.99739755802187724</v>
      </c>
      <c r="K76" s="6">
        <f t="shared" si="27"/>
        <v>1691032.2000000002</v>
      </c>
      <c r="L76" s="19">
        <v>2658966.3899999997</v>
      </c>
    </row>
    <row r="77" spans="2:19" ht="18.5" customHeight="1">
      <c r="B77" s="13">
        <v>420</v>
      </c>
      <c r="C77" s="13" t="s">
        <v>15</v>
      </c>
      <c r="D77" s="14" t="s">
        <v>28</v>
      </c>
      <c r="E77" s="6">
        <v>1518487629</v>
      </c>
      <c r="F77" s="5">
        <v>1007361311</v>
      </c>
      <c r="G77" s="5">
        <v>502303929</v>
      </c>
      <c r="H77" s="5">
        <f t="shared" si="24"/>
        <v>1509665240</v>
      </c>
      <c r="I77" s="5">
        <f t="shared" si="25"/>
        <v>8822389</v>
      </c>
      <c r="J77" s="7">
        <f t="shared" si="26"/>
        <v>0.99419001588718248</v>
      </c>
      <c r="K77" s="6">
        <f t="shared" si="27"/>
        <v>1764477.8</v>
      </c>
      <c r="L77" s="19">
        <v>2079167.1</v>
      </c>
    </row>
    <row r="78" spans="2:19" ht="18.5" customHeight="1">
      <c r="B78" s="13">
        <v>420</v>
      </c>
      <c r="C78" s="13" t="s">
        <v>16</v>
      </c>
      <c r="D78" s="14" t="s">
        <v>28</v>
      </c>
      <c r="E78" s="6">
        <v>515888551</v>
      </c>
      <c r="F78" s="5">
        <v>343853917</v>
      </c>
      <c r="G78" s="5">
        <v>167289023</v>
      </c>
      <c r="H78" s="5">
        <f t="shared" si="24"/>
        <v>511142940</v>
      </c>
      <c r="I78" s="5">
        <f t="shared" si="25"/>
        <v>4745611</v>
      </c>
      <c r="J78" s="7">
        <f t="shared" si="26"/>
        <v>0.99080109261816129</v>
      </c>
      <c r="K78" s="6">
        <f t="shared" si="27"/>
        <v>949122.20000000007</v>
      </c>
      <c r="L78" s="19">
        <v>578388.12</v>
      </c>
    </row>
    <row r="79" spans="2:19" ht="18.5" customHeight="1">
      <c r="B79" s="13">
        <v>420</v>
      </c>
      <c r="C79" s="13" t="s">
        <v>17</v>
      </c>
      <c r="D79" s="14" t="s">
        <v>28</v>
      </c>
      <c r="E79" s="6">
        <v>653196644</v>
      </c>
      <c r="F79" s="5">
        <v>408353129</v>
      </c>
      <c r="G79" s="5">
        <v>241807867</v>
      </c>
      <c r="H79" s="5">
        <f t="shared" si="24"/>
        <v>650160996</v>
      </c>
      <c r="I79" s="5">
        <f t="shared" si="25"/>
        <v>3035648</v>
      </c>
      <c r="J79" s="7">
        <f t="shared" si="26"/>
        <v>0.99535262768435162</v>
      </c>
      <c r="K79" s="6">
        <f t="shared" si="27"/>
        <v>607129.59999999998</v>
      </c>
      <c r="L79" s="19">
        <v>1131989</v>
      </c>
    </row>
    <row r="80" spans="2:19" ht="18.5" customHeight="1">
      <c r="B80" s="13">
        <v>420</v>
      </c>
      <c r="C80" s="13" t="s">
        <v>18</v>
      </c>
      <c r="D80" s="14" t="s">
        <v>28</v>
      </c>
      <c r="E80" s="6">
        <v>571534325</v>
      </c>
      <c r="F80" s="5">
        <v>397168206</v>
      </c>
      <c r="G80" s="5">
        <v>170290215</v>
      </c>
      <c r="H80" s="5">
        <f t="shared" si="24"/>
        <v>567458421</v>
      </c>
      <c r="I80" s="5">
        <f t="shared" si="25"/>
        <v>4075904</v>
      </c>
      <c r="J80" s="7">
        <f t="shared" si="26"/>
        <v>0.99286848782004478</v>
      </c>
      <c r="K80" s="6">
        <f t="shared" si="27"/>
        <v>815180.80000000005</v>
      </c>
      <c r="L80" s="19">
        <v>6238135</v>
      </c>
    </row>
    <row r="81" spans="2:19" ht="18.5" customHeight="1">
      <c r="B81" s="13">
        <v>420</v>
      </c>
      <c r="C81" s="13" t="s">
        <v>19</v>
      </c>
      <c r="D81" s="14" t="s">
        <v>28</v>
      </c>
      <c r="E81" s="11">
        <v>466486535</v>
      </c>
      <c r="F81" s="8">
        <v>294077069</v>
      </c>
      <c r="G81" s="8">
        <v>164179331</v>
      </c>
      <c r="H81" s="5">
        <f t="shared" si="24"/>
        <v>458256400</v>
      </c>
      <c r="I81" s="5">
        <f t="shared" si="25"/>
        <v>8230135</v>
      </c>
      <c r="J81" s="7">
        <f t="shared" si="26"/>
        <v>0.98235718636551861</v>
      </c>
      <c r="K81" s="6">
        <f t="shared" si="27"/>
        <v>1646027</v>
      </c>
      <c r="L81" s="4">
        <v>14828960</v>
      </c>
      <c r="M81" s="4"/>
    </row>
    <row r="82" spans="2:19" ht="18.5" customHeight="1">
      <c r="B82" s="13">
        <v>420</v>
      </c>
      <c r="C82" s="13" t="s">
        <v>20</v>
      </c>
      <c r="D82" s="14" t="s">
        <v>28</v>
      </c>
      <c r="E82" s="11">
        <v>556630627</v>
      </c>
      <c r="F82" s="8">
        <v>476560032</v>
      </c>
      <c r="G82" s="8">
        <v>50847973</v>
      </c>
      <c r="H82" s="5">
        <f t="shared" si="24"/>
        <v>527408005</v>
      </c>
      <c r="I82" s="5">
        <f t="shared" si="25"/>
        <v>29222622</v>
      </c>
      <c r="J82" s="7">
        <f t="shared" si="26"/>
        <v>0.94750087296220586</v>
      </c>
      <c r="K82" s="6">
        <f t="shared" si="27"/>
        <v>5844524.4000000004</v>
      </c>
      <c r="L82" s="19">
        <v>6604553.5999999996</v>
      </c>
    </row>
    <row r="83" spans="2:19" ht="18.5" customHeight="1">
      <c r="B83" s="13">
        <v>420</v>
      </c>
      <c r="C83" s="13" t="s">
        <v>21</v>
      </c>
      <c r="D83" s="14" t="s">
        <v>28</v>
      </c>
      <c r="E83" s="5">
        <v>1271276962.6399999</v>
      </c>
      <c r="F83" s="5">
        <v>1044100739.76</v>
      </c>
      <c r="G83" s="5">
        <v>209235807</v>
      </c>
      <c r="H83" s="5">
        <f t="shared" si="24"/>
        <v>1253336546.76</v>
      </c>
      <c r="I83" s="5">
        <f t="shared" si="25"/>
        <v>17940415.879999876</v>
      </c>
      <c r="J83" s="7">
        <f t="shared" si="26"/>
        <v>0.98588787777390074</v>
      </c>
      <c r="K83" s="6">
        <f t="shared" si="27"/>
        <v>3588083.1759999753</v>
      </c>
      <c r="L83" s="19">
        <v>13527376.279999997</v>
      </c>
    </row>
    <row r="84" spans="2:19" s="24" customFormat="1" ht="18.5" customHeight="1">
      <c r="B84" s="27"/>
      <c r="C84" s="27"/>
      <c r="D84" s="28" t="s">
        <v>22</v>
      </c>
      <c r="E84" s="23">
        <f>SUM(E75:E83)/9</f>
        <v>1346796240.2933333</v>
      </c>
      <c r="F84" s="23">
        <f>SUM(F75:F83)/9</f>
        <v>1115341676.4177778</v>
      </c>
      <c r="G84" s="23">
        <f>SUM(G75:G83)/9</f>
        <v>220314288.77777779</v>
      </c>
      <c r="H84" s="23">
        <f>SUM(H75:H83)/9</f>
        <v>1335655965.1955557</v>
      </c>
      <c r="I84" s="23">
        <f>SUM(I75:I83)/9</f>
        <v>11140275.097777763</v>
      </c>
      <c r="J84" s="29">
        <f>SUM(H84/E84)</f>
        <v>0.99172831437712416</v>
      </c>
      <c r="K84" s="23">
        <f>SUM(K75:K83)/9</f>
        <v>2228055.0195555529</v>
      </c>
      <c r="L84" s="20">
        <f>SUM(L75:L83)/9</f>
        <v>5691090.6422222219</v>
      </c>
      <c r="M84" s="20"/>
    </row>
    <row r="85" spans="2:19" s="24" customFormat="1" ht="18.5" customHeight="1">
      <c r="B85" s="27"/>
      <c r="C85" s="27"/>
      <c r="D85" s="28"/>
      <c r="E85" s="23"/>
      <c r="F85" s="23"/>
      <c r="G85" s="23"/>
      <c r="H85" s="23"/>
      <c r="I85" s="23"/>
      <c r="J85" s="29"/>
      <c r="K85" s="23"/>
      <c r="L85" s="20"/>
      <c r="M85" s="20"/>
    </row>
    <row r="86" spans="2:19" s="25" customFormat="1" ht="45.95" customHeight="1">
      <c r="B86" s="31" t="s">
        <v>1</v>
      </c>
      <c r="C86" s="31" t="s">
        <v>2</v>
      </c>
      <c r="D86" s="38" t="s">
        <v>3</v>
      </c>
      <c r="E86" s="37" t="s">
        <v>4</v>
      </c>
      <c r="F86" s="32" t="s">
        <v>5</v>
      </c>
      <c r="G86" s="32" t="s">
        <v>6</v>
      </c>
      <c r="H86" s="33" t="s">
        <v>7</v>
      </c>
      <c r="I86" s="33" t="s">
        <v>8</v>
      </c>
      <c r="J86" s="34" t="s">
        <v>9</v>
      </c>
      <c r="K86" s="33" t="s">
        <v>10</v>
      </c>
      <c r="L86" s="35" t="s">
        <v>11</v>
      </c>
      <c r="M86" s="36"/>
      <c r="N86" s="39"/>
      <c r="O86" s="40"/>
      <c r="P86" s="41"/>
      <c r="Q86" s="40"/>
      <c r="R86" s="42"/>
      <c r="S86" s="43"/>
    </row>
    <row r="87" spans="2:19" ht="18.5" customHeight="1">
      <c r="B87" s="13">
        <v>422</v>
      </c>
      <c r="C87" s="13" t="s">
        <v>12</v>
      </c>
      <c r="D87" s="14" t="s">
        <v>29</v>
      </c>
      <c r="E87" s="6">
        <v>200658808</v>
      </c>
      <c r="F87" s="5">
        <v>124650708</v>
      </c>
      <c r="G87" s="5">
        <v>74351350</v>
      </c>
      <c r="H87" s="5">
        <f t="shared" ref="H87:H95" si="28">SUM(F87+G87)</f>
        <v>199002058</v>
      </c>
      <c r="I87" s="5">
        <f t="shared" ref="I87:I95" si="29">SUM(E87-H87)</f>
        <v>1656750</v>
      </c>
      <c r="J87" s="7">
        <f t="shared" ref="J87:J95" si="30">SUM(H87/E87)</f>
        <v>0.99174344741447884</v>
      </c>
      <c r="K87" s="6">
        <f t="shared" ref="K87:K95" si="31">SUM(I87*0.2)</f>
        <v>331350</v>
      </c>
      <c r="L87" s="19">
        <v>516851.74</v>
      </c>
    </row>
    <row r="88" spans="2:19" ht="18.5" customHeight="1">
      <c r="B88" s="13">
        <v>422</v>
      </c>
      <c r="C88" s="13" t="s">
        <v>14</v>
      </c>
      <c r="D88" s="14" t="s">
        <v>29</v>
      </c>
      <c r="E88" s="6">
        <v>948078767</v>
      </c>
      <c r="F88" s="5">
        <v>108703666</v>
      </c>
      <c r="G88" s="5">
        <v>837753253</v>
      </c>
      <c r="H88" s="5">
        <f t="shared" si="28"/>
        <v>946456919</v>
      </c>
      <c r="I88" s="5">
        <f t="shared" si="29"/>
        <v>1621848</v>
      </c>
      <c r="J88" s="7">
        <f t="shared" si="30"/>
        <v>0.99828933200863468</v>
      </c>
      <c r="K88" s="6">
        <f t="shared" si="31"/>
        <v>324369.60000000003</v>
      </c>
      <c r="L88" s="19">
        <v>1286972.99</v>
      </c>
    </row>
    <row r="89" spans="2:19" ht="18.5" customHeight="1">
      <c r="B89" s="13">
        <v>422</v>
      </c>
      <c r="C89" s="13" t="s">
        <v>15</v>
      </c>
      <c r="D89" s="14" t="s">
        <v>29</v>
      </c>
      <c r="E89" s="6">
        <v>941743082</v>
      </c>
      <c r="F89" s="5">
        <v>134037053</v>
      </c>
      <c r="G89" s="5">
        <v>806871978</v>
      </c>
      <c r="H89" s="5">
        <f t="shared" si="28"/>
        <v>940909031</v>
      </c>
      <c r="I89" s="5">
        <f t="shared" si="29"/>
        <v>834051</v>
      </c>
      <c r="J89" s="7">
        <f t="shared" si="30"/>
        <v>0.99911435399320514</v>
      </c>
      <c r="K89" s="6">
        <f t="shared" si="31"/>
        <v>166810.20000000001</v>
      </c>
      <c r="L89" s="19">
        <v>1808095.84</v>
      </c>
    </row>
    <row r="90" spans="2:19" ht="18.5" customHeight="1">
      <c r="B90" s="13">
        <v>422</v>
      </c>
      <c r="C90" s="13" t="s">
        <v>16</v>
      </c>
      <c r="D90" s="14" t="s">
        <v>29</v>
      </c>
      <c r="E90" s="6">
        <v>956281795</v>
      </c>
      <c r="F90" s="5">
        <v>102938783</v>
      </c>
      <c r="G90" s="5">
        <v>852343012</v>
      </c>
      <c r="H90" s="5">
        <f t="shared" si="28"/>
        <v>955281795</v>
      </c>
      <c r="I90" s="5">
        <f t="shared" si="29"/>
        <v>1000000</v>
      </c>
      <c r="J90" s="7">
        <f t="shared" si="30"/>
        <v>0.99895428313575707</v>
      </c>
      <c r="K90" s="6">
        <f t="shared" si="31"/>
        <v>200000</v>
      </c>
      <c r="L90" s="19">
        <v>334378.27999999997</v>
      </c>
    </row>
    <row r="91" spans="2:19" ht="18.5" customHeight="1">
      <c r="B91" s="13">
        <v>422</v>
      </c>
      <c r="C91" s="13" t="s">
        <v>17</v>
      </c>
      <c r="D91" s="14" t="s">
        <v>29</v>
      </c>
      <c r="E91" s="6">
        <v>378330778</v>
      </c>
      <c r="F91" s="5">
        <v>76759100</v>
      </c>
      <c r="G91" s="5">
        <v>301497478</v>
      </c>
      <c r="H91" s="5">
        <f t="shared" si="28"/>
        <v>378256578</v>
      </c>
      <c r="I91" s="5">
        <f t="shared" si="29"/>
        <v>74200</v>
      </c>
      <c r="J91" s="7">
        <f t="shared" si="30"/>
        <v>0.99980387532732007</v>
      </c>
      <c r="K91" s="6">
        <f t="shared" si="31"/>
        <v>14840</v>
      </c>
      <c r="L91" s="19">
        <v>986158</v>
      </c>
    </row>
    <row r="92" spans="2:19" ht="18.5" customHeight="1">
      <c r="B92" s="13">
        <v>422</v>
      </c>
      <c r="C92" s="13" t="s">
        <v>18</v>
      </c>
      <c r="D92" s="14" t="s">
        <v>29</v>
      </c>
      <c r="E92" s="6">
        <v>527446412</v>
      </c>
      <c r="F92" s="5">
        <v>74374900</v>
      </c>
      <c r="G92" s="5">
        <v>452986512</v>
      </c>
      <c r="H92" s="5">
        <f t="shared" si="28"/>
        <v>527361412</v>
      </c>
      <c r="I92" s="5">
        <f t="shared" si="29"/>
        <v>85000</v>
      </c>
      <c r="J92" s="7">
        <f t="shared" si="30"/>
        <v>0.99983884618784746</v>
      </c>
      <c r="K92" s="6">
        <f t="shared" si="31"/>
        <v>17000</v>
      </c>
      <c r="L92" s="19">
        <v>1116852</v>
      </c>
    </row>
    <row r="93" spans="2:19" ht="18.5" customHeight="1">
      <c r="B93" s="13">
        <v>422</v>
      </c>
      <c r="C93" s="13" t="s">
        <v>19</v>
      </c>
      <c r="D93" s="14" t="s">
        <v>29</v>
      </c>
      <c r="E93" s="11">
        <v>895335890</v>
      </c>
      <c r="F93" s="8">
        <v>95714738</v>
      </c>
      <c r="G93" s="8">
        <v>796677066</v>
      </c>
      <c r="H93" s="5">
        <f t="shared" si="28"/>
        <v>892391804</v>
      </c>
      <c r="I93" s="5">
        <f t="shared" si="29"/>
        <v>2944086</v>
      </c>
      <c r="J93" s="7">
        <f t="shared" si="30"/>
        <v>0.99671175250218103</v>
      </c>
      <c r="K93" s="6">
        <f t="shared" si="31"/>
        <v>588817.20000000007</v>
      </c>
      <c r="L93" s="4">
        <v>1373220</v>
      </c>
      <c r="M93" s="4"/>
    </row>
    <row r="94" spans="2:19" ht="18.5" customHeight="1">
      <c r="B94" s="13">
        <v>422</v>
      </c>
      <c r="C94" s="13" t="s">
        <v>20</v>
      </c>
      <c r="D94" s="14" t="s">
        <v>29</v>
      </c>
      <c r="E94" s="6">
        <v>414328500</v>
      </c>
      <c r="F94" s="5">
        <v>159002500</v>
      </c>
      <c r="G94" s="5">
        <v>252262500</v>
      </c>
      <c r="H94" s="5">
        <f t="shared" si="28"/>
        <v>411265000</v>
      </c>
      <c r="I94" s="5">
        <f t="shared" si="29"/>
        <v>3063500</v>
      </c>
      <c r="J94" s="7">
        <f t="shared" si="30"/>
        <v>0.99260610843811126</v>
      </c>
      <c r="K94" s="6">
        <f t="shared" si="31"/>
        <v>612700</v>
      </c>
      <c r="L94" s="19">
        <v>1428542.65</v>
      </c>
    </row>
    <row r="95" spans="2:19" ht="18.5" customHeight="1">
      <c r="B95" s="13">
        <v>422</v>
      </c>
      <c r="C95" s="13" t="s">
        <v>21</v>
      </c>
      <c r="D95" s="14" t="s">
        <v>29</v>
      </c>
      <c r="E95" s="5">
        <v>275594000</v>
      </c>
      <c r="F95" s="5">
        <v>162774500</v>
      </c>
      <c r="G95" s="5">
        <v>111364000</v>
      </c>
      <c r="H95" s="5">
        <f t="shared" si="28"/>
        <v>274138500</v>
      </c>
      <c r="I95" s="5">
        <f t="shared" si="29"/>
        <v>1455500</v>
      </c>
      <c r="J95" s="7">
        <f t="shared" si="30"/>
        <v>0.99471868037765698</v>
      </c>
      <c r="K95" s="6">
        <f t="shared" si="31"/>
        <v>291100</v>
      </c>
      <c r="L95" s="19">
        <v>1954921.9600000002</v>
      </c>
    </row>
    <row r="96" spans="2:19" s="24" customFormat="1" ht="18.5" customHeight="1">
      <c r="B96" s="27"/>
      <c r="C96" s="27"/>
      <c r="D96" s="28" t="s">
        <v>22</v>
      </c>
      <c r="E96" s="23">
        <f>SUM(E87:E95)/9</f>
        <v>615310892.44444442</v>
      </c>
      <c r="F96" s="23">
        <f>SUM(F87:F95)/9</f>
        <v>115439549.77777778</v>
      </c>
      <c r="G96" s="23">
        <f>SUM(G87:G95)/9</f>
        <v>498456349.8888889</v>
      </c>
      <c r="H96" s="23">
        <f>SUM(H87:H95)/9</f>
        <v>613895899.66666663</v>
      </c>
      <c r="I96" s="23">
        <f>SUM(I87:I95)/9</f>
        <v>1414992.7777777778</v>
      </c>
      <c r="J96" s="29">
        <f>SUM(H96/E96)</f>
        <v>0.99770036123989869</v>
      </c>
      <c r="K96" s="23">
        <f>SUM(K87:K95)/9</f>
        <v>282998.55555555556</v>
      </c>
      <c r="L96" s="20">
        <f>SUM(L87:L95)/9</f>
        <v>1200665.9400000002</v>
      </c>
      <c r="M96" s="20"/>
    </row>
    <row r="97" spans="2:19" s="24" customFormat="1" ht="18.5" customHeight="1">
      <c r="B97" s="27"/>
      <c r="C97" s="27"/>
      <c r="D97" s="28"/>
      <c r="E97" s="23"/>
      <c r="F97" s="23"/>
      <c r="G97" s="23"/>
      <c r="H97" s="23"/>
      <c r="I97" s="23"/>
      <c r="J97" s="29"/>
      <c r="K97" s="23"/>
      <c r="L97" s="20"/>
      <c r="M97" s="20"/>
    </row>
    <row r="98" spans="2:19" s="25" customFormat="1" ht="45.95" customHeight="1">
      <c r="B98" s="31" t="s">
        <v>1</v>
      </c>
      <c r="C98" s="31" t="s">
        <v>2</v>
      </c>
      <c r="D98" s="38" t="s">
        <v>3</v>
      </c>
      <c r="E98" s="37" t="s">
        <v>4</v>
      </c>
      <c r="F98" s="32" t="s">
        <v>5</v>
      </c>
      <c r="G98" s="32" t="s">
        <v>6</v>
      </c>
      <c r="H98" s="33" t="s">
        <v>7</v>
      </c>
      <c r="I98" s="33" t="s">
        <v>8</v>
      </c>
      <c r="J98" s="34" t="s">
        <v>9</v>
      </c>
      <c r="K98" s="33" t="s">
        <v>10</v>
      </c>
      <c r="L98" s="35" t="s">
        <v>11</v>
      </c>
      <c r="M98" s="36"/>
      <c r="N98" s="39"/>
      <c r="O98" s="40"/>
      <c r="P98" s="41"/>
      <c r="Q98" s="40"/>
      <c r="R98" s="42"/>
      <c r="S98" s="43"/>
    </row>
    <row r="99" spans="2:19" ht="18.5" customHeight="1">
      <c r="B99" s="13">
        <v>425</v>
      </c>
      <c r="C99" s="13" t="s">
        <v>12</v>
      </c>
      <c r="D99" s="14" t="s">
        <v>30</v>
      </c>
      <c r="E99" s="6">
        <v>109585450</v>
      </c>
      <c r="F99" s="5">
        <v>88277600</v>
      </c>
      <c r="G99" s="5">
        <v>19997104.785</v>
      </c>
      <c r="H99" s="5">
        <f t="shared" ref="H99:H107" si="32">SUM(F99+G99)</f>
        <v>108274704.785</v>
      </c>
      <c r="I99" s="5">
        <f t="shared" ref="I99:I107" si="33">SUM(E99-H99)</f>
        <v>1310745.2150000036</v>
      </c>
      <c r="J99" s="7">
        <f t="shared" ref="J99:J107" si="34">SUM(H99/E99)</f>
        <v>0.98803905796800573</v>
      </c>
      <c r="K99" s="6">
        <f t="shared" ref="K99:K107" si="35">SUM(I99*0.2)</f>
        <v>262149.0430000007</v>
      </c>
      <c r="L99" s="19">
        <v>563646.56000000006</v>
      </c>
    </row>
    <row r="100" spans="2:19" ht="18.5" customHeight="1">
      <c r="B100" s="13">
        <v>425</v>
      </c>
      <c r="C100" s="13" t="s">
        <v>14</v>
      </c>
      <c r="D100" s="14" t="s">
        <v>30</v>
      </c>
      <c r="E100" s="6">
        <v>129888100.4615</v>
      </c>
      <c r="F100" s="5">
        <v>108896798.4615</v>
      </c>
      <c r="G100" s="5">
        <v>19846177</v>
      </c>
      <c r="H100" s="5">
        <f t="shared" si="32"/>
        <v>128742975.4615</v>
      </c>
      <c r="I100" s="5">
        <f t="shared" si="33"/>
        <v>1145125</v>
      </c>
      <c r="J100" s="7">
        <f t="shared" si="34"/>
        <v>0.99118375743481268</v>
      </c>
      <c r="K100" s="6">
        <f t="shared" si="35"/>
        <v>229025</v>
      </c>
      <c r="L100" s="19">
        <v>932287.41</v>
      </c>
    </row>
    <row r="101" spans="2:19" ht="18.5" customHeight="1">
      <c r="B101" s="13">
        <v>425</v>
      </c>
      <c r="C101" s="13" t="s">
        <v>15</v>
      </c>
      <c r="D101" s="14" t="s">
        <v>30</v>
      </c>
      <c r="E101" s="6">
        <v>131219800</v>
      </c>
      <c r="F101" s="5">
        <v>118280881</v>
      </c>
      <c r="G101" s="5">
        <v>12262992</v>
      </c>
      <c r="H101" s="5">
        <f t="shared" si="32"/>
        <v>130543873</v>
      </c>
      <c r="I101" s="5">
        <f t="shared" si="33"/>
        <v>675927</v>
      </c>
      <c r="J101" s="7">
        <f t="shared" si="34"/>
        <v>0.99484889475521221</v>
      </c>
      <c r="K101" s="6">
        <f t="shared" si="35"/>
        <v>135185.4</v>
      </c>
      <c r="L101" s="19">
        <v>899650.96</v>
      </c>
    </row>
    <row r="102" spans="2:19" ht="18.5" customHeight="1">
      <c r="B102" s="13">
        <v>425</v>
      </c>
      <c r="C102" s="13" t="s">
        <v>16</v>
      </c>
      <c r="D102" s="14" t="s">
        <v>30</v>
      </c>
      <c r="E102" s="6">
        <v>133736585</v>
      </c>
      <c r="F102" s="5">
        <v>108627066</v>
      </c>
      <c r="G102" s="5">
        <v>12262992</v>
      </c>
      <c r="H102" s="5">
        <f t="shared" si="32"/>
        <v>120890058</v>
      </c>
      <c r="I102" s="5">
        <f t="shared" si="33"/>
        <v>12846527</v>
      </c>
      <c r="J102" s="7">
        <f t="shared" si="34"/>
        <v>0.90394156542878679</v>
      </c>
      <c r="K102" s="6">
        <f t="shared" si="35"/>
        <v>2569305.4000000004</v>
      </c>
      <c r="L102" s="19">
        <v>659074.23</v>
      </c>
    </row>
    <row r="103" spans="2:19" ht="18.5" customHeight="1">
      <c r="B103" s="13">
        <v>425</v>
      </c>
      <c r="C103" s="13" t="s">
        <v>17</v>
      </c>
      <c r="D103" s="14" t="s">
        <v>30</v>
      </c>
      <c r="E103" s="6">
        <v>132749500</v>
      </c>
      <c r="F103" s="5">
        <v>96217000</v>
      </c>
      <c r="G103" s="5">
        <v>29218600</v>
      </c>
      <c r="H103" s="5">
        <f t="shared" si="32"/>
        <v>125435600</v>
      </c>
      <c r="I103" s="5">
        <f t="shared" si="33"/>
        <v>7313900</v>
      </c>
      <c r="J103" s="7">
        <f t="shared" si="34"/>
        <v>0.9449045005819231</v>
      </c>
      <c r="K103" s="6">
        <f t="shared" si="35"/>
        <v>1462780</v>
      </c>
      <c r="L103" s="19">
        <v>228894</v>
      </c>
    </row>
    <row r="104" spans="2:19" ht="18.5" customHeight="1">
      <c r="B104" s="13">
        <v>425</v>
      </c>
      <c r="C104" s="13" t="s">
        <v>18</v>
      </c>
      <c r="D104" s="14" t="s">
        <v>30</v>
      </c>
      <c r="E104" s="6">
        <v>125000100</v>
      </c>
      <c r="F104" s="5">
        <v>94612700</v>
      </c>
      <c r="G104" s="5">
        <v>24162600</v>
      </c>
      <c r="H104" s="5">
        <f t="shared" si="32"/>
        <v>118775300</v>
      </c>
      <c r="I104" s="5">
        <f t="shared" si="33"/>
        <v>6224800</v>
      </c>
      <c r="J104" s="7">
        <f t="shared" si="34"/>
        <v>0.95020163983868811</v>
      </c>
      <c r="K104" s="6">
        <f t="shared" si="35"/>
        <v>1244960</v>
      </c>
      <c r="L104" s="19">
        <v>428961</v>
      </c>
    </row>
    <row r="105" spans="2:19" ht="18.5" customHeight="1">
      <c r="B105" s="13">
        <v>425</v>
      </c>
      <c r="C105" s="13" t="s">
        <v>19</v>
      </c>
      <c r="D105" s="14" t="s">
        <v>30</v>
      </c>
      <c r="E105" s="8">
        <v>120107300</v>
      </c>
      <c r="F105" s="8">
        <v>85095365</v>
      </c>
      <c r="G105" s="8">
        <v>29089249</v>
      </c>
      <c r="H105" s="5">
        <f t="shared" si="32"/>
        <v>114184614</v>
      </c>
      <c r="I105" s="5">
        <f t="shared" si="33"/>
        <v>5922686</v>
      </c>
      <c r="J105" s="7">
        <f t="shared" si="34"/>
        <v>0.95068837614366486</v>
      </c>
      <c r="K105" s="6">
        <f t="shared" si="35"/>
        <v>1184537.2</v>
      </c>
      <c r="L105" s="4">
        <v>376005</v>
      </c>
      <c r="M105" s="4"/>
    </row>
    <row r="106" spans="2:19" ht="18.5" customHeight="1">
      <c r="B106" s="13">
        <v>425</v>
      </c>
      <c r="C106" s="13" t="s">
        <v>20</v>
      </c>
      <c r="D106" s="14" t="s">
        <v>30</v>
      </c>
      <c r="E106" s="8">
        <v>106822300</v>
      </c>
      <c r="F106" s="8">
        <v>87791825</v>
      </c>
      <c r="G106" s="8">
        <v>0</v>
      </c>
      <c r="H106" s="5">
        <f t="shared" si="32"/>
        <v>87791825</v>
      </c>
      <c r="I106" s="5">
        <f t="shared" si="33"/>
        <v>19030475</v>
      </c>
      <c r="J106" s="7">
        <f t="shared" si="34"/>
        <v>0.82184922998287813</v>
      </c>
      <c r="K106" s="6">
        <f t="shared" si="35"/>
        <v>3806095</v>
      </c>
      <c r="L106" s="19">
        <v>379087.9</v>
      </c>
    </row>
    <row r="107" spans="2:19" ht="18.5" customHeight="1">
      <c r="B107" s="13">
        <v>425</v>
      </c>
      <c r="C107" s="13" t="s">
        <v>21</v>
      </c>
      <c r="D107" s="14" t="s">
        <v>30</v>
      </c>
      <c r="E107" s="5">
        <v>109141700</v>
      </c>
      <c r="F107" s="5">
        <v>87747769.75</v>
      </c>
      <c r="G107" s="5">
        <v>0</v>
      </c>
      <c r="H107" s="5">
        <f t="shared" si="32"/>
        <v>87747769.75</v>
      </c>
      <c r="I107" s="5">
        <f t="shared" si="33"/>
        <v>21393930.25</v>
      </c>
      <c r="J107" s="7">
        <f t="shared" si="34"/>
        <v>0.80398023624334236</v>
      </c>
      <c r="K107" s="6">
        <f t="shared" si="35"/>
        <v>4278786.05</v>
      </c>
      <c r="L107" s="19">
        <v>299502.65000000002</v>
      </c>
    </row>
    <row r="108" spans="2:19" s="24" customFormat="1" ht="18.5" customHeight="1">
      <c r="B108" s="27"/>
      <c r="C108" s="27"/>
      <c r="D108" s="28" t="s">
        <v>22</v>
      </c>
      <c r="E108" s="23">
        <f>SUM(E99:E107)/9</f>
        <v>122027870.60683332</v>
      </c>
      <c r="F108" s="23">
        <f>SUM(F99:F107)/9</f>
        <v>97283000.579055548</v>
      </c>
      <c r="G108" s="23">
        <f>SUM(G99:G107)/9</f>
        <v>16315523.865</v>
      </c>
      <c r="H108" s="23">
        <f>SUM(H99:H107)/9</f>
        <v>113598524.44405556</v>
      </c>
      <c r="I108" s="23">
        <f>SUM(I99:I107)/9</f>
        <v>8429346.1627777778</v>
      </c>
      <c r="J108" s="29">
        <f>SUM(H108/E108)</f>
        <v>0.93092277919085686</v>
      </c>
      <c r="K108" s="23">
        <f>SUM(K99:K107)/9</f>
        <v>1685869.2325555559</v>
      </c>
      <c r="L108" s="20">
        <f>SUM(L99:L107)/9</f>
        <v>529678.8566666668</v>
      </c>
      <c r="M108" s="20"/>
    </row>
    <row r="109" spans="2:19" s="24" customFormat="1" ht="18.5" customHeight="1">
      <c r="B109" s="27"/>
      <c r="C109" s="27"/>
      <c r="D109" s="28"/>
      <c r="E109" s="23"/>
      <c r="F109" s="23"/>
      <c r="G109" s="23"/>
      <c r="H109" s="23"/>
      <c r="I109" s="23"/>
      <c r="J109" s="29"/>
      <c r="K109" s="23"/>
      <c r="L109" s="20"/>
      <c r="M109" s="20"/>
    </row>
    <row r="110" spans="2:19" s="25" customFormat="1" ht="45.95" customHeight="1">
      <c r="B110" s="31" t="s">
        <v>1</v>
      </c>
      <c r="C110" s="31" t="s">
        <v>2</v>
      </c>
      <c r="D110" s="38" t="s">
        <v>3</v>
      </c>
      <c r="E110" s="37" t="s">
        <v>4</v>
      </c>
      <c r="F110" s="32" t="s">
        <v>5</v>
      </c>
      <c r="G110" s="32" t="s">
        <v>6</v>
      </c>
      <c r="H110" s="33" t="s">
        <v>7</v>
      </c>
      <c r="I110" s="33" t="s">
        <v>8</v>
      </c>
      <c r="J110" s="34" t="s">
        <v>9</v>
      </c>
      <c r="K110" s="33" t="s">
        <v>10</v>
      </c>
      <c r="L110" s="35" t="s">
        <v>11</v>
      </c>
      <c r="M110" s="36"/>
      <c r="N110" s="39"/>
      <c r="O110" s="40"/>
      <c r="P110" s="41"/>
      <c r="Q110" s="40"/>
      <c r="R110" s="42"/>
      <c r="S110" s="43"/>
    </row>
    <row r="111" spans="2:19" ht="18.5" customHeight="1">
      <c r="B111" s="13">
        <v>426</v>
      </c>
      <c r="C111" s="13" t="s">
        <v>12</v>
      </c>
      <c r="D111" s="14" t="s">
        <v>31</v>
      </c>
      <c r="E111" s="6">
        <v>1133491700</v>
      </c>
      <c r="F111" s="5">
        <v>827843800</v>
      </c>
      <c r="G111" s="5">
        <v>289104783</v>
      </c>
      <c r="H111" s="5">
        <f t="shared" ref="H111:H119" si="36">SUM(F111+G111)</f>
        <v>1116948583</v>
      </c>
      <c r="I111" s="5">
        <f t="shared" ref="I111:I119" si="37">SUM(E111-H111)</f>
        <v>16543117</v>
      </c>
      <c r="J111" s="7">
        <f t="shared" ref="J111:J119" si="38">SUM(H111/E111)</f>
        <v>0.98540517147148055</v>
      </c>
      <c r="K111" s="6">
        <f t="shared" ref="K111:K119" si="39">SUM(I111*0.2)</f>
        <v>3308623.4000000004</v>
      </c>
      <c r="L111" s="19">
        <v>7719685.2100000009</v>
      </c>
    </row>
    <row r="112" spans="2:19" ht="18.5" customHeight="1">
      <c r="B112" s="13">
        <v>426</v>
      </c>
      <c r="C112" s="13" t="s">
        <v>14</v>
      </c>
      <c r="D112" s="14" t="s">
        <v>31</v>
      </c>
      <c r="E112" s="6">
        <v>1309767800</v>
      </c>
      <c r="F112" s="5">
        <v>974930900</v>
      </c>
      <c r="G112" s="5">
        <v>304711795</v>
      </c>
      <c r="H112" s="5">
        <f t="shared" si="36"/>
        <v>1279642695</v>
      </c>
      <c r="I112" s="5">
        <f t="shared" si="37"/>
        <v>30125105</v>
      </c>
      <c r="J112" s="7">
        <f t="shared" si="38"/>
        <v>0.97699965978702485</v>
      </c>
      <c r="K112" s="6">
        <f t="shared" si="39"/>
        <v>6025021</v>
      </c>
      <c r="L112" s="19">
        <v>14357412.939999999</v>
      </c>
    </row>
    <row r="113" spans="2:19" ht="18.5" customHeight="1">
      <c r="B113" s="13">
        <v>426</v>
      </c>
      <c r="C113" s="13" t="s">
        <v>15</v>
      </c>
      <c r="D113" s="14" t="s">
        <v>31</v>
      </c>
      <c r="E113" s="6">
        <v>1310390200</v>
      </c>
      <c r="F113" s="5">
        <v>1114534100</v>
      </c>
      <c r="G113" s="5">
        <v>142978200</v>
      </c>
      <c r="H113" s="5">
        <f t="shared" si="36"/>
        <v>1257512300</v>
      </c>
      <c r="I113" s="5">
        <f t="shared" si="37"/>
        <v>52877900</v>
      </c>
      <c r="J113" s="7">
        <f t="shared" si="38"/>
        <v>0.9596472104263295</v>
      </c>
      <c r="K113" s="6">
        <f t="shared" si="39"/>
        <v>10575580</v>
      </c>
      <c r="L113" s="19">
        <v>26725713.359999999</v>
      </c>
    </row>
    <row r="114" spans="2:19" ht="18.5" customHeight="1">
      <c r="B114" s="13">
        <v>426</v>
      </c>
      <c r="C114" s="13" t="s">
        <v>16</v>
      </c>
      <c r="D114" s="14" t="s">
        <v>31</v>
      </c>
      <c r="E114" s="6">
        <v>1479377199.5999999</v>
      </c>
      <c r="F114" s="5">
        <v>1000300155</v>
      </c>
      <c r="G114" s="5">
        <v>441848567</v>
      </c>
      <c r="H114" s="5">
        <f t="shared" si="36"/>
        <v>1442148722</v>
      </c>
      <c r="I114" s="5">
        <f t="shared" si="37"/>
        <v>37228477.599999905</v>
      </c>
      <c r="J114" s="7">
        <f t="shared" si="38"/>
        <v>0.97483503354650469</v>
      </c>
      <c r="K114" s="6">
        <f t="shared" si="39"/>
        <v>7445695.5199999809</v>
      </c>
      <c r="L114" s="19">
        <v>19542602.400000006</v>
      </c>
    </row>
    <row r="115" spans="2:19" ht="18.5" customHeight="1">
      <c r="B115" s="13">
        <v>426</v>
      </c>
      <c r="C115" s="13" t="s">
        <v>17</v>
      </c>
      <c r="D115" s="14" t="s">
        <v>31</v>
      </c>
      <c r="E115" s="6">
        <v>1530887400</v>
      </c>
      <c r="F115" s="5">
        <v>1037597500</v>
      </c>
      <c r="G115" s="5">
        <v>439482901</v>
      </c>
      <c r="H115" s="5">
        <f t="shared" si="36"/>
        <v>1477080401</v>
      </c>
      <c r="I115" s="5">
        <f t="shared" si="37"/>
        <v>53806999</v>
      </c>
      <c r="J115" s="7">
        <f t="shared" si="38"/>
        <v>0.96485241239819464</v>
      </c>
      <c r="K115" s="6">
        <f t="shared" si="39"/>
        <v>10761399.800000001</v>
      </c>
      <c r="L115" s="19">
        <v>22830324</v>
      </c>
    </row>
    <row r="116" spans="2:19" ht="18.5" customHeight="1">
      <c r="B116" s="13">
        <v>426</v>
      </c>
      <c r="C116" s="13" t="s">
        <v>18</v>
      </c>
      <c r="D116" s="14" t="s">
        <v>31</v>
      </c>
      <c r="E116" s="6">
        <v>1554554000</v>
      </c>
      <c r="F116" s="5">
        <v>1037230100</v>
      </c>
      <c r="G116" s="5">
        <v>423077420</v>
      </c>
      <c r="H116" s="5">
        <f t="shared" si="36"/>
        <v>1460307520</v>
      </c>
      <c r="I116" s="5">
        <f t="shared" si="37"/>
        <v>94246480</v>
      </c>
      <c r="J116" s="7">
        <f t="shared" si="38"/>
        <v>0.93937394262277152</v>
      </c>
      <c r="K116" s="6">
        <f t="shared" si="39"/>
        <v>18849296</v>
      </c>
      <c r="L116" s="19">
        <v>33244313</v>
      </c>
    </row>
    <row r="117" spans="2:19" ht="18.5" customHeight="1">
      <c r="B117" s="13">
        <v>426</v>
      </c>
      <c r="C117" s="13" t="s">
        <v>19</v>
      </c>
      <c r="D117" s="14" t="s">
        <v>31</v>
      </c>
      <c r="E117" s="11">
        <v>1495811400</v>
      </c>
      <c r="F117" s="9">
        <v>992845000</v>
      </c>
      <c r="G117" s="8">
        <v>179139800</v>
      </c>
      <c r="H117" s="5">
        <f t="shared" si="36"/>
        <v>1171984800</v>
      </c>
      <c r="I117" s="5">
        <f t="shared" si="37"/>
        <v>323826600</v>
      </c>
      <c r="J117" s="7">
        <f t="shared" si="38"/>
        <v>0.78351107632954264</v>
      </c>
      <c r="K117" s="6">
        <f t="shared" si="39"/>
        <v>64765320</v>
      </c>
      <c r="L117" s="4">
        <v>21021552</v>
      </c>
      <c r="M117" s="4"/>
    </row>
    <row r="118" spans="2:19" ht="18.5" customHeight="1">
      <c r="B118" s="13">
        <v>426</v>
      </c>
      <c r="C118" s="13" t="s">
        <v>20</v>
      </c>
      <c r="D118" s="14" t="s">
        <v>31</v>
      </c>
      <c r="E118" s="11">
        <v>1602556700</v>
      </c>
      <c r="F118" s="9">
        <v>1040342900</v>
      </c>
      <c r="G118" s="8">
        <v>163151800</v>
      </c>
      <c r="H118" s="5">
        <f t="shared" si="36"/>
        <v>1203494700</v>
      </c>
      <c r="I118" s="5">
        <f t="shared" si="37"/>
        <v>399062000</v>
      </c>
      <c r="J118" s="7">
        <f t="shared" si="38"/>
        <v>0.75098416174603999</v>
      </c>
      <c r="K118" s="6">
        <f t="shared" si="39"/>
        <v>79812400</v>
      </c>
      <c r="L118" s="19">
        <v>7744189.9199999999</v>
      </c>
    </row>
    <row r="119" spans="2:19" ht="18.5" customHeight="1">
      <c r="B119" s="13">
        <v>426</v>
      </c>
      <c r="C119" s="13" t="s">
        <v>21</v>
      </c>
      <c r="D119" s="14" t="s">
        <v>31</v>
      </c>
      <c r="E119" s="5">
        <v>1693760875</v>
      </c>
      <c r="F119" s="5">
        <v>1136357400</v>
      </c>
      <c r="G119" s="5">
        <v>43150200</v>
      </c>
      <c r="H119" s="5">
        <f t="shared" si="36"/>
        <v>1179507600</v>
      </c>
      <c r="I119" s="5">
        <f t="shared" si="37"/>
        <v>514253275</v>
      </c>
      <c r="J119" s="7">
        <f t="shared" si="38"/>
        <v>0.69638377967610099</v>
      </c>
      <c r="K119" s="6">
        <f t="shared" si="39"/>
        <v>102850655</v>
      </c>
      <c r="L119" s="19">
        <v>8147806.4000000004</v>
      </c>
    </row>
    <row r="120" spans="2:19" s="24" customFormat="1" ht="18.5" customHeight="1">
      <c r="B120" s="27"/>
      <c r="C120" s="27"/>
      <c r="D120" s="28" t="s">
        <v>22</v>
      </c>
      <c r="E120" s="23">
        <f>SUM(E111:E119)/9</f>
        <v>1456733030.5111113</v>
      </c>
      <c r="F120" s="23">
        <f>SUM(F111:F119)/9</f>
        <v>1017997983.8888888</v>
      </c>
      <c r="G120" s="23">
        <f>SUM(G111:G119)/9</f>
        <v>269627274</v>
      </c>
      <c r="H120" s="23">
        <f>SUM(H111:H119)/9</f>
        <v>1287625257.8888888</v>
      </c>
      <c r="I120" s="23">
        <f>SUM(I111:I119)/9</f>
        <v>169107772.62222221</v>
      </c>
      <c r="J120" s="29">
        <f>SUM(H120/E120)</f>
        <v>0.88391299635535203</v>
      </c>
      <c r="K120" s="23">
        <f>SUM(K111:K119)/9</f>
        <v>33821554.524444439</v>
      </c>
      <c r="L120" s="20">
        <f>SUM(L111:L119)/9</f>
        <v>17925955.469999999</v>
      </c>
      <c r="M120" s="20"/>
    </row>
    <row r="121" spans="2:19" s="24" customFormat="1" ht="18.5" customHeight="1">
      <c r="B121" s="27"/>
      <c r="C121" s="27"/>
      <c r="D121" s="28"/>
      <c r="E121" s="23"/>
      <c r="F121" s="23"/>
      <c r="G121" s="23"/>
      <c r="H121" s="23"/>
      <c r="I121" s="23"/>
      <c r="J121" s="29"/>
      <c r="K121" s="23"/>
      <c r="L121" s="20"/>
      <c r="M121" s="20"/>
    </row>
    <row r="122" spans="2:19" s="25" customFormat="1" ht="45.95" customHeight="1">
      <c r="B122" s="31" t="s">
        <v>1</v>
      </c>
      <c r="C122" s="31" t="s">
        <v>2</v>
      </c>
      <c r="D122" s="38" t="s">
        <v>3</v>
      </c>
      <c r="E122" s="37" t="s">
        <v>4</v>
      </c>
      <c r="F122" s="32" t="s">
        <v>5</v>
      </c>
      <c r="G122" s="32" t="s">
        <v>6</v>
      </c>
      <c r="H122" s="33" t="s">
        <v>7</v>
      </c>
      <c r="I122" s="33" t="s">
        <v>8</v>
      </c>
      <c r="J122" s="34" t="s">
        <v>9</v>
      </c>
      <c r="K122" s="33" t="s">
        <v>10</v>
      </c>
      <c r="L122" s="35" t="s">
        <v>11</v>
      </c>
      <c r="M122" s="36"/>
      <c r="N122" s="39"/>
      <c r="O122" s="40"/>
      <c r="P122" s="41"/>
      <c r="Q122" s="40"/>
      <c r="R122" s="42"/>
      <c r="S122" s="43"/>
    </row>
    <row r="123" spans="2:19" ht="18.5" customHeight="1">
      <c r="B123" s="13">
        <v>427</v>
      </c>
      <c r="C123" s="13" t="s">
        <v>12</v>
      </c>
      <c r="D123" s="14" t="s">
        <v>32</v>
      </c>
      <c r="E123" s="6">
        <v>369886800</v>
      </c>
      <c r="F123" s="5">
        <v>293007000</v>
      </c>
      <c r="G123" s="5">
        <v>65102300</v>
      </c>
      <c r="H123" s="5">
        <f t="shared" ref="H123:H131" si="40">SUM(F123+G123)</f>
        <v>358109300</v>
      </c>
      <c r="I123" s="5">
        <f t="shared" ref="I123:I131" si="41">SUM(E123-H123)</f>
        <v>11777500</v>
      </c>
      <c r="J123" s="7">
        <f t="shared" ref="J123:J131" si="42">SUM(H123/E123)</f>
        <v>0.96815917734831303</v>
      </c>
      <c r="K123" s="6">
        <f t="shared" ref="K123:K131" si="43">SUM(I123*0.2)</f>
        <v>2355500</v>
      </c>
      <c r="L123" s="19">
        <v>5997579.9299999997</v>
      </c>
    </row>
    <row r="124" spans="2:19" ht="18.5" customHeight="1">
      <c r="B124" s="13">
        <v>427</v>
      </c>
      <c r="C124" s="13" t="s">
        <v>14</v>
      </c>
      <c r="D124" s="14" t="s">
        <v>32</v>
      </c>
      <c r="E124" s="6">
        <v>353383700</v>
      </c>
      <c r="F124" s="5">
        <v>283899100</v>
      </c>
      <c r="G124" s="5">
        <v>54625100</v>
      </c>
      <c r="H124" s="5">
        <f t="shared" si="40"/>
        <v>338524200</v>
      </c>
      <c r="I124" s="5">
        <f t="shared" si="41"/>
        <v>14859500</v>
      </c>
      <c r="J124" s="7">
        <f t="shared" si="42"/>
        <v>0.95795080531444998</v>
      </c>
      <c r="K124" s="6">
        <f t="shared" si="43"/>
        <v>2971900</v>
      </c>
      <c r="L124" s="19">
        <v>5512784.2799999993</v>
      </c>
    </row>
    <row r="125" spans="2:19" ht="18.5" customHeight="1">
      <c r="B125" s="13">
        <v>427</v>
      </c>
      <c r="C125" s="13" t="s">
        <v>15</v>
      </c>
      <c r="D125" s="14" t="s">
        <v>32</v>
      </c>
      <c r="E125" s="6">
        <v>347853400</v>
      </c>
      <c r="F125" s="5">
        <v>303578400</v>
      </c>
      <c r="G125" s="5">
        <v>29095000</v>
      </c>
      <c r="H125" s="5">
        <f t="shared" si="40"/>
        <v>332673400</v>
      </c>
      <c r="I125" s="5">
        <f t="shared" si="41"/>
        <v>15180000</v>
      </c>
      <c r="J125" s="7">
        <f t="shared" si="42"/>
        <v>0.95636092675822626</v>
      </c>
      <c r="K125" s="6">
        <f t="shared" si="43"/>
        <v>3036000</v>
      </c>
      <c r="L125" s="19">
        <v>4435366.95</v>
      </c>
    </row>
    <row r="126" spans="2:19" ht="18.5" customHeight="1">
      <c r="B126" s="13">
        <v>427</v>
      </c>
      <c r="C126" s="13" t="s">
        <v>16</v>
      </c>
      <c r="D126" s="14" t="s">
        <v>32</v>
      </c>
      <c r="E126" s="6">
        <v>340053400</v>
      </c>
      <c r="F126" s="5">
        <v>277616800</v>
      </c>
      <c r="G126" s="5">
        <v>50998800</v>
      </c>
      <c r="H126" s="5">
        <f t="shared" si="40"/>
        <v>328615600</v>
      </c>
      <c r="I126" s="5">
        <f t="shared" si="41"/>
        <v>11437800</v>
      </c>
      <c r="J126" s="7">
        <f t="shared" si="42"/>
        <v>0.96636469448621898</v>
      </c>
      <c r="K126" s="6">
        <f t="shared" si="43"/>
        <v>2287560</v>
      </c>
      <c r="L126" s="19">
        <v>6020872.5599999996</v>
      </c>
    </row>
    <row r="127" spans="2:19" ht="18.5" customHeight="1">
      <c r="B127" s="13">
        <v>427</v>
      </c>
      <c r="C127" s="13" t="s">
        <v>17</v>
      </c>
      <c r="D127" s="14" t="s">
        <v>32</v>
      </c>
      <c r="E127" s="6">
        <v>243643900</v>
      </c>
      <c r="F127" s="5">
        <v>199377000</v>
      </c>
      <c r="G127" s="5">
        <v>37745425</v>
      </c>
      <c r="H127" s="5">
        <f t="shared" si="40"/>
        <v>237122425</v>
      </c>
      <c r="I127" s="5">
        <f t="shared" si="41"/>
        <v>6521475</v>
      </c>
      <c r="J127" s="7">
        <f t="shared" si="42"/>
        <v>0.97323357982695236</v>
      </c>
      <c r="K127" s="6">
        <f t="shared" si="43"/>
        <v>1304295</v>
      </c>
      <c r="L127" s="19">
        <v>7971536</v>
      </c>
    </row>
    <row r="128" spans="2:19" ht="18.5" customHeight="1">
      <c r="B128" s="13">
        <v>427</v>
      </c>
      <c r="C128" s="13" t="s">
        <v>18</v>
      </c>
      <c r="D128" s="14" t="s">
        <v>32</v>
      </c>
      <c r="E128" s="6">
        <v>270826700</v>
      </c>
      <c r="F128" s="5">
        <v>219529200</v>
      </c>
      <c r="G128" s="5">
        <v>41808222</v>
      </c>
      <c r="H128" s="5">
        <f t="shared" si="40"/>
        <v>261337422</v>
      </c>
      <c r="I128" s="5">
        <f t="shared" si="41"/>
        <v>9489278</v>
      </c>
      <c r="J128" s="7">
        <f t="shared" si="42"/>
        <v>0.96496180767996653</v>
      </c>
      <c r="K128" s="6">
        <f t="shared" si="43"/>
        <v>1897855.6</v>
      </c>
      <c r="L128" s="19">
        <v>4138691</v>
      </c>
    </row>
    <row r="129" spans="2:19" ht="18.5" customHeight="1">
      <c r="B129" s="13">
        <v>427</v>
      </c>
      <c r="C129" s="13" t="s">
        <v>19</v>
      </c>
      <c r="D129" s="14" t="s">
        <v>32</v>
      </c>
      <c r="E129" s="8">
        <v>266778000</v>
      </c>
      <c r="F129" s="8">
        <v>219530500</v>
      </c>
      <c r="G129" s="8">
        <v>41098422</v>
      </c>
      <c r="H129" s="5">
        <f t="shared" si="40"/>
        <v>260628922</v>
      </c>
      <c r="I129" s="5">
        <f t="shared" si="41"/>
        <v>6149078</v>
      </c>
      <c r="J129" s="7">
        <f t="shared" si="42"/>
        <v>0.97695058063258589</v>
      </c>
      <c r="K129" s="6">
        <f t="shared" si="43"/>
        <v>1229815.6000000001</v>
      </c>
      <c r="L129" s="4">
        <v>2694836</v>
      </c>
      <c r="M129" s="4"/>
    </row>
    <row r="130" spans="2:19" ht="18.5" customHeight="1">
      <c r="B130" s="13">
        <v>427</v>
      </c>
      <c r="C130" s="13" t="s">
        <v>20</v>
      </c>
      <c r="D130" s="14" t="s">
        <v>32</v>
      </c>
      <c r="E130" s="8">
        <v>260305600</v>
      </c>
      <c r="F130" s="8">
        <v>217043783</v>
      </c>
      <c r="G130" s="8">
        <v>36598900</v>
      </c>
      <c r="H130" s="5">
        <f t="shared" si="40"/>
        <v>253642683</v>
      </c>
      <c r="I130" s="5">
        <f t="shared" si="41"/>
        <v>6662917</v>
      </c>
      <c r="J130" s="7">
        <f t="shared" si="42"/>
        <v>0.97440348190741954</v>
      </c>
      <c r="K130" s="6">
        <f t="shared" si="43"/>
        <v>1332583.4000000001</v>
      </c>
      <c r="L130" s="19">
        <v>2583019.13</v>
      </c>
    </row>
    <row r="131" spans="2:19" ht="18.5" customHeight="1">
      <c r="B131" s="13">
        <v>427</v>
      </c>
      <c r="C131" s="13" t="s">
        <v>21</v>
      </c>
      <c r="D131" s="14" t="s">
        <v>32</v>
      </c>
      <c r="E131" s="5">
        <v>289377700</v>
      </c>
      <c r="F131" s="5">
        <v>246996636</v>
      </c>
      <c r="G131" s="5">
        <v>37714000</v>
      </c>
      <c r="H131" s="5">
        <f t="shared" si="40"/>
        <v>284710636</v>
      </c>
      <c r="I131" s="5">
        <f t="shared" si="41"/>
        <v>4667064</v>
      </c>
      <c r="J131" s="7">
        <f t="shared" si="42"/>
        <v>0.98387206754355983</v>
      </c>
      <c r="K131" s="6">
        <f t="shared" si="43"/>
        <v>933412.8</v>
      </c>
      <c r="L131" s="19">
        <v>3482014.1999999997</v>
      </c>
    </row>
    <row r="132" spans="2:19" s="24" customFormat="1" ht="18.5" customHeight="1">
      <c r="B132" s="27"/>
      <c r="C132" s="27"/>
      <c r="D132" s="28" t="s">
        <v>22</v>
      </c>
      <c r="E132" s="23">
        <f>SUM(E123:E131)/9</f>
        <v>304678800</v>
      </c>
      <c r="F132" s="23">
        <f>SUM(F123:F131)/9</f>
        <v>251175379.8888889</v>
      </c>
      <c r="G132" s="23">
        <f>SUM(G123:G131)/9</f>
        <v>43865129.888888888</v>
      </c>
      <c r="H132" s="23">
        <f>SUM(H123:H131)/9</f>
        <v>295040509.77777779</v>
      </c>
      <c r="I132" s="23">
        <f>SUM(I123:I131)/9</f>
        <v>9638290.222222222</v>
      </c>
      <c r="J132" s="29">
        <f>SUM(H132/E132)</f>
        <v>0.96836573393940695</v>
      </c>
      <c r="K132" s="23">
        <f>SUM(K123:K131)/9</f>
        <v>1927658.0444444444</v>
      </c>
      <c r="L132" s="20">
        <f>SUM(L123:L131)/9</f>
        <v>4759633.3388888892</v>
      </c>
      <c r="M132" s="20"/>
    </row>
    <row r="133" spans="2:19" s="24" customFormat="1" ht="18.5" customHeight="1">
      <c r="B133" s="27"/>
      <c r="C133" s="27"/>
      <c r="D133" s="28"/>
      <c r="E133" s="23"/>
      <c r="F133" s="23"/>
      <c r="G133" s="23"/>
      <c r="H133" s="23"/>
      <c r="I133" s="23"/>
      <c r="J133" s="29"/>
      <c r="K133" s="23"/>
      <c r="L133" s="20"/>
      <c r="M133" s="20"/>
    </row>
    <row r="134" spans="2:19" s="25" customFormat="1" ht="45.95" customHeight="1">
      <c r="B134" s="31" t="s">
        <v>1</v>
      </c>
      <c r="C134" s="31" t="s">
        <v>2</v>
      </c>
      <c r="D134" s="38" t="s">
        <v>3</v>
      </c>
      <c r="E134" s="37" t="s">
        <v>4</v>
      </c>
      <c r="F134" s="32" t="s">
        <v>5</v>
      </c>
      <c r="G134" s="32" t="s">
        <v>6</v>
      </c>
      <c r="H134" s="33" t="s">
        <v>7</v>
      </c>
      <c r="I134" s="33" t="s">
        <v>8</v>
      </c>
      <c r="J134" s="34" t="s">
        <v>9</v>
      </c>
      <c r="K134" s="33" t="s">
        <v>10</v>
      </c>
      <c r="L134" s="35" t="s">
        <v>11</v>
      </c>
      <c r="M134" s="36"/>
      <c r="N134" s="39"/>
      <c r="O134" s="40"/>
      <c r="P134" s="41"/>
      <c r="Q134" s="40"/>
      <c r="R134" s="42"/>
      <c r="S134" s="43"/>
    </row>
    <row r="135" spans="2:19" ht="18.5" customHeight="1">
      <c r="B135" s="13">
        <v>440</v>
      </c>
      <c r="C135" s="13" t="s">
        <v>12</v>
      </c>
      <c r="D135" s="14" t="s">
        <v>33</v>
      </c>
      <c r="E135" s="6">
        <v>95425800</v>
      </c>
      <c r="F135" s="5">
        <v>76963700</v>
      </c>
      <c r="G135" s="5">
        <v>15599200</v>
      </c>
      <c r="H135" s="5">
        <f t="shared" ref="H135:H143" si="44">SUM(F135+G135)</f>
        <v>92562900</v>
      </c>
      <c r="I135" s="5">
        <f t="shared" ref="I135:I143" si="45">SUM(E135-H135)</f>
        <v>2862900</v>
      </c>
      <c r="J135" s="7">
        <f t="shared" ref="J135:J143" si="46">SUM(H135/E135)</f>
        <v>0.96999867960237174</v>
      </c>
      <c r="K135" s="6">
        <f t="shared" ref="K135:K143" si="47">SUM(I135*0.2)</f>
        <v>572580</v>
      </c>
      <c r="L135" s="19">
        <v>1592438.38</v>
      </c>
    </row>
    <row r="136" spans="2:19" ht="18.5" customHeight="1">
      <c r="B136" s="13">
        <v>440</v>
      </c>
      <c r="C136" s="13" t="s">
        <v>14</v>
      </c>
      <c r="D136" s="14" t="s">
        <v>33</v>
      </c>
      <c r="E136" s="6">
        <v>109686500</v>
      </c>
      <c r="F136" s="5">
        <v>90838600</v>
      </c>
      <c r="G136" s="5">
        <v>15557305</v>
      </c>
      <c r="H136" s="5">
        <f t="shared" si="44"/>
        <v>106395905</v>
      </c>
      <c r="I136" s="5">
        <f t="shared" si="45"/>
        <v>3290595</v>
      </c>
      <c r="J136" s="7">
        <f t="shared" si="46"/>
        <v>0.97</v>
      </c>
      <c r="K136" s="6">
        <f t="shared" si="47"/>
        <v>658119</v>
      </c>
      <c r="L136" s="19">
        <v>2302162.7800000003</v>
      </c>
    </row>
    <row r="137" spans="2:19" ht="18.5" customHeight="1">
      <c r="B137" s="13">
        <v>440</v>
      </c>
      <c r="C137" s="13" t="s">
        <v>15</v>
      </c>
      <c r="D137" s="14" t="s">
        <v>33</v>
      </c>
      <c r="E137" s="6">
        <v>109686500</v>
      </c>
      <c r="F137" s="5">
        <v>89345500</v>
      </c>
      <c r="G137" s="5">
        <v>17051900</v>
      </c>
      <c r="H137" s="5">
        <f t="shared" si="44"/>
        <v>106397400</v>
      </c>
      <c r="I137" s="5">
        <f t="shared" si="45"/>
        <v>3289100</v>
      </c>
      <c r="J137" s="7">
        <f t="shared" si="46"/>
        <v>0.97001362975388949</v>
      </c>
      <c r="K137" s="6">
        <f t="shared" si="47"/>
        <v>657820</v>
      </c>
      <c r="L137" s="19">
        <v>1907245.4499999997</v>
      </c>
    </row>
    <row r="138" spans="2:19" ht="18.5" customHeight="1">
      <c r="B138" s="13">
        <v>440</v>
      </c>
      <c r="C138" s="13" t="s">
        <v>16</v>
      </c>
      <c r="D138" s="14" t="s">
        <v>33</v>
      </c>
      <c r="E138" s="6">
        <v>107532100</v>
      </c>
      <c r="F138" s="5">
        <v>88428000</v>
      </c>
      <c r="G138" s="5">
        <v>16374800</v>
      </c>
      <c r="H138" s="5">
        <f t="shared" si="44"/>
        <v>104802800</v>
      </c>
      <c r="I138" s="5">
        <f t="shared" si="45"/>
        <v>2729300</v>
      </c>
      <c r="J138" s="7">
        <f t="shared" si="46"/>
        <v>0.97461874175246277</v>
      </c>
      <c r="K138" s="6">
        <f t="shared" si="47"/>
        <v>545860</v>
      </c>
      <c r="L138" s="19">
        <v>1301859.26</v>
      </c>
    </row>
    <row r="139" spans="2:19" ht="18.5" customHeight="1">
      <c r="B139" s="13">
        <v>440</v>
      </c>
      <c r="C139" s="13" t="s">
        <v>17</v>
      </c>
      <c r="D139" s="14" t="s">
        <v>33</v>
      </c>
      <c r="E139" s="6">
        <v>99538300</v>
      </c>
      <c r="F139" s="5">
        <v>83332500</v>
      </c>
      <c r="G139" s="5">
        <v>13219651</v>
      </c>
      <c r="H139" s="5">
        <f t="shared" si="44"/>
        <v>96552151</v>
      </c>
      <c r="I139" s="5">
        <f t="shared" si="45"/>
        <v>2986149</v>
      </c>
      <c r="J139" s="7">
        <f t="shared" si="46"/>
        <v>0.97</v>
      </c>
      <c r="K139" s="6">
        <f t="shared" si="47"/>
        <v>597229.80000000005</v>
      </c>
      <c r="L139" s="19">
        <v>1216878</v>
      </c>
    </row>
    <row r="140" spans="2:19" ht="18.5" customHeight="1">
      <c r="B140" s="13">
        <v>440</v>
      </c>
      <c r="C140" s="13" t="s">
        <v>18</v>
      </c>
      <c r="D140" s="14" t="s">
        <v>33</v>
      </c>
      <c r="E140" s="6">
        <v>96875000</v>
      </c>
      <c r="F140" s="5">
        <v>78415600</v>
      </c>
      <c r="G140" s="5">
        <v>15552650</v>
      </c>
      <c r="H140" s="5">
        <f t="shared" si="44"/>
        <v>93968250</v>
      </c>
      <c r="I140" s="5">
        <f t="shared" si="45"/>
        <v>2906750</v>
      </c>
      <c r="J140" s="7">
        <f t="shared" si="46"/>
        <v>0.9699948387096774</v>
      </c>
      <c r="K140" s="6">
        <f t="shared" si="47"/>
        <v>581350</v>
      </c>
      <c r="L140" s="19">
        <v>2174680</v>
      </c>
    </row>
    <row r="141" spans="2:19" ht="18.5" customHeight="1">
      <c r="B141" s="13">
        <v>440</v>
      </c>
      <c r="C141" s="13" t="s">
        <v>19</v>
      </c>
      <c r="D141" s="14" t="s">
        <v>33</v>
      </c>
      <c r="E141" s="8">
        <v>100420400</v>
      </c>
      <c r="F141" s="8">
        <v>73916300</v>
      </c>
      <c r="G141" s="8">
        <v>23491488</v>
      </c>
      <c r="H141" s="5">
        <f t="shared" si="44"/>
        <v>97407788</v>
      </c>
      <c r="I141" s="5">
        <f t="shared" si="45"/>
        <v>3012612</v>
      </c>
      <c r="J141" s="7">
        <f t="shared" si="46"/>
        <v>0.97</v>
      </c>
      <c r="K141" s="6">
        <f t="shared" si="47"/>
        <v>602522.4</v>
      </c>
      <c r="L141" s="4">
        <v>1724139</v>
      </c>
      <c r="M141" s="4"/>
    </row>
    <row r="142" spans="2:19" ht="18.5" customHeight="1">
      <c r="B142" s="13">
        <v>440</v>
      </c>
      <c r="C142" s="13" t="s">
        <v>20</v>
      </c>
      <c r="D142" s="14" t="s">
        <v>33</v>
      </c>
      <c r="E142" s="8">
        <v>109878500</v>
      </c>
      <c r="F142" s="8">
        <v>80992800</v>
      </c>
      <c r="G142" s="8">
        <v>25540488</v>
      </c>
      <c r="H142" s="5">
        <f t="shared" si="44"/>
        <v>106533288</v>
      </c>
      <c r="I142" s="5">
        <f t="shared" si="45"/>
        <v>3345212</v>
      </c>
      <c r="J142" s="7">
        <f t="shared" si="46"/>
        <v>0.96955535432318429</v>
      </c>
      <c r="K142" s="6">
        <f t="shared" si="47"/>
        <v>669042.4</v>
      </c>
      <c r="L142" s="19">
        <v>446023.72000000003</v>
      </c>
    </row>
    <row r="143" spans="2:19" ht="18.5" customHeight="1">
      <c r="B143" s="13">
        <v>440</v>
      </c>
      <c r="C143" s="13" t="s">
        <v>21</v>
      </c>
      <c r="D143" s="14" t="s">
        <v>33</v>
      </c>
      <c r="E143" s="5">
        <v>113081600</v>
      </c>
      <c r="F143" s="5">
        <v>80246100</v>
      </c>
      <c r="G143" s="5">
        <v>29443052</v>
      </c>
      <c r="H143" s="5">
        <f t="shared" si="44"/>
        <v>109689152</v>
      </c>
      <c r="I143" s="5">
        <f t="shared" si="45"/>
        <v>3392448</v>
      </c>
      <c r="J143" s="7">
        <f t="shared" si="46"/>
        <v>0.97</v>
      </c>
      <c r="K143" s="6">
        <f t="shared" si="47"/>
        <v>678489.60000000009</v>
      </c>
      <c r="L143" s="19">
        <v>378047.86</v>
      </c>
    </row>
    <row r="144" spans="2:19" s="24" customFormat="1" ht="18.5" customHeight="1">
      <c r="B144" s="27"/>
      <c r="C144" s="27"/>
      <c r="D144" s="28" t="s">
        <v>22</v>
      </c>
      <c r="E144" s="23">
        <f>SUM(E135:E143)/9</f>
        <v>104680522.22222222</v>
      </c>
      <c r="F144" s="23">
        <f>SUM(F135:F143)/9</f>
        <v>82497677.777777776</v>
      </c>
      <c r="G144" s="23">
        <f>SUM(G135:G143)/9</f>
        <v>19092281.555555556</v>
      </c>
      <c r="H144" s="23">
        <f>SUM(H135:H143)/9</f>
        <v>101589959.33333333</v>
      </c>
      <c r="I144" s="23">
        <f>SUM(I135:I143)/9</f>
        <v>3090562.888888889</v>
      </c>
      <c r="J144" s="29">
        <f>SUM(H144/E144)</f>
        <v>0.97047623738131472</v>
      </c>
      <c r="K144" s="23">
        <f>SUM(K135:K143)/9</f>
        <v>618112.57777777791</v>
      </c>
      <c r="L144" s="20">
        <f>SUM(L135:L143)/9</f>
        <v>1449274.9388888888</v>
      </c>
      <c r="M144" s="20"/>
    </row>
    <row r="145" spans="2:19" s="24" customFormat="1" ht="18.5" customHeight="1">
      <c r="B145" s="27"/>
      <c r="C145" s="27"/>
      <c r="D145" s="28"/>
      <c r="E145" s="23"/>
      <c r="F145" s="23"/>
      <c r="G145" s="23"/>
      <c r="H145" s="23"/>
      <c r="I145" s="23"/>
      <c r="J145" s="29"/>
      <c r="K145" s="23"/>
      <c r="L145" s="20"/>
      <c r="M145" s="20"/>
    </row>
    <row r="146" spans="2:19" s="25" customFormat="1" ht="45.95" customHeight="1">
      <c r="B146" s="31" t="s">
        <v>1</v>
      </c>
      <c r="C146" s="31" t="s">
        <v>2</v>
      </c>
      <c r="D146" s="38" t="s">
        <v>3</v>
      </c>
      <c r="E146" s="37" t="s">
        <v>4</v>
      </c>
      <c r="F146" s="32" t="s">
        <v>5</v>
      </c>
      <c r="G146" s="32" t="s">
        <v>6</v>
      </c>
      <c r="H146" s="33" t="s">
        <v>7</v>
      </c>
      <c r="I146" s="33" t="s">
        <v>8</v>
      </c>
      <c r="J146" s="34" t="s">
        <v>9</v>
      </c>
      <c r="K146" s="33" t="s">
        <v>10</v>
      </c>
      <c r="L146" s="35" t="s">
        <v>11</v>
      </c>
      <c r="M146" s="36"/>
      <c r="N146" s="39"/>
      <c r="O146" s="40"/>
      <c r="P146" s="41"/>
      <c r="Q146" s="40"/>
      <c r="R146" s="42"/>
      <c r="S146" s="43"/>
    </row>
    <row r="147" spans="2:19" ht="18.5" customHeight="1">
      <c r="B147" s="13">
        <v>442</v>
      </c>
      <c r="C147" s="13" t="s">
        <v>12</v>
      </c>
      <c r="D147" s="14" t="s">
        <v>34</v>
      </c>
      <c r="E147" s="6">
        <v>9029428</v>
      </c>
      <c r="F147" s="5">
        <v>7441328</v>
      </c>
      <c r="G147" s="5">
        <v>1412900</v>
      </c>
      <c r="H147" s="5">
        <f t="shared" ref="H147:H155" si="48">SUM(F147+G147)</f>
        <v>8854228</v>
      </c>
      <c r="I147" s="5">
        <f t="shared" ref="I147:I155" si="49">SUM(E147-H147)</f>
        <v>175200</v>
      </c>
      <c r="J147" s="7">
        <f t="shared" ref="J147:J155" si="50">SUM(H147/E147)</f>
        <v>0.98059677755888852</v>
      </c>
      <c r="K147" s="6">
        <f t="shared" ref="K147:K155" si="51">SUM(I147*0.2)</f>
        <v>35040</v>
      </c>
      <c r="L147" s="19">
        <v>99003.26</v>
      </c>
    </row>
    <row r="148" spans="2:19" ht="18.5" customHeight="1">
      <c r="B148" s="13">
        <v>442</v>
      </c>
      <c r="C148" s="13" t="s">
        <v>14</v>
      </c>
      <c r="D148" s="14" t="s">
        <v>34</v>
      </c>
      <c r="E148" s="6">
        <v>9029428</v>
      </c>
      <c r="F148" s="5">
        <v>7441328</v>
      </c>
      <c r="G148" s="5">
        <v>1410400</v>
      </c>
      <c r="H148" s="5">
        <f t="shared" si="48"/>
        <v>8851728</v>
      </c>
      <c r="I148" s="5">
        <f t="shared" si="49"/>
        <v>177700</v>
      </c>
      <c r="J148" s="7">
        <f t="shared" si="50"/>
        <v>0.98031990509254852</v>
      </c>
      <c r="K148" s="6">
        <f t="shared" si="51"/>
        <v>35540</v>
      </c>
      <c r="L148" s="19">
        <v>80945.2</v>
      </c>
    </row>
    <row r="149" spans="2:19" ht="18.5" customHeight="1">
      <c r="B149" s="13">
        <v>442</v>
      </c>
      <c r="C149" s="13" t="s">
        <v>15</v>
      </c>
      <c r="D149" s="14" t="s">
        <v>34</v>
      </c>
      <c r="E149" s="6">
        <v>9480000</v>
      </c>
      <c r="F149" s="5">
        <v>8226400</v>
      </c>
      <c r="G149" s="5">
        <v>1075900</v>
      </c>
      <c r="H149" s="5">
        <f t="shared" si="48"/>
        <v>9302300</v>
      </c>
      <c r="I149" s="5">
        <f t="shared" si="49"/>
        <v>177700</v>
      </c>
      <c r="J149" s="7">
        <f t="shared" si="50"/>
        <v>0.98125527426160342</v>
      </c>
      <c r="K149" s="6">
        <f t="shared" si="51"/>
        <v>35540</v>
      </c>
      <c r="L149" s="19">
        <v>45297.88</v>
      </c>
    </row>
    <row r="150" spans="2:19" ht="18.5" customHeight="1">
      <c r="B150" s="13">
        <v>442</v>
      </c>
      <c r="C150" s="13" t="s">
        <v>16</v>
      </c>
      <c r="D150" s="14" t="s">
        <v>34</v>
      </c>
      <c r="E150" s="6">
        <v>9480000</v>
      </c>
      <c r="F150" s="5">
        <v>8226400</v>
      </c>
      <c r="G150" s="5">
        <v>1075900</v>
      </c>
      <c r="H150" s="5">
        <f t="shared" si="48"/>
        <v>9302300</v>
      </c>
      <c r="I150" s="5">
        <f t="shared" si="49"/>
        <v>177700</v>
      </c>
      <c r="J150" s="7">
        <f t="shared" si="50"/>
        <v>0.98125527426160342</v>
      </c>
      <c r="K150" s="6">
        <f t="shared" si="51"/>
        <v>35540</v>
      </c>
      <c r="L150" s="19">
        <v>28156.760000000002</v>
      </c>
    </row>
    <row r="151" spans="2:19" ht="18.5" customHeight="1">
      <c r="B151" s="13">
        <v>442</v>
      </c>
      <c r="C151" s="13" t="s">
        <v>17</v>
      </c>
      <c r="D151" s="14" t="s">
        <v>34</v>
      </c>
      <c r="E151" s="6">
        <v>10008000</v>
      </c>
      <c r="F151" s="5">
        <v>8852100</v>
      </c>
      <c r="G151" s="5">
        <v>978200</v>
      </c>
      <c r="H151" s="5">
        <f t="shared" si="48"/>
        <v>9830300</v>
      </c>
      <c r="I151" s="5">
        <f t="shared" si="49"/>
        <v>177700</v>
      </c>
      <c r="J151" s="7">
        <f t="shared" si="50"/>
        <v>0.98224420463629092</v>
      </c>
      <c r="K151" s="6">
        <f t="shared" si="51"/>
        <v>35540</v>
      </c>
      <c r="L151" s="19">
        <v>27628</v>
      </c>
    </row>
    <row r="152" spans="2:19" ht="18.5" customHeight="1">
      <c r="B152" s="13">
        <v>442</v>
      </c>
      <c r="C152" s="13" t="s">
        <v>18</v>
      </c>
      <c r="D152" s="14" t="s">
        <v>34</v>
      </c>
      <c r="E152" s="6">
        <v>9523700</v>
      </c>
      <c r="F152" s="5">
        <v>8431700</v>
      </c>
      <c r="G152" s="5">
        <v>929300</v>
      </c>
      <c r="H152" s="5">
        <f t="shared" si="48"/>
        <v>9361000</v>
      </c>
      <c r="I152" s="5">
        <f t="shared" si="49"/>
        <v>162700</v>
      </c>
      <c r="J152" s="7">
        <f t="shared" si="50"/>
        <v>0.98291630353749071</v>
      </c>
      <c r="K152" s="6">
        <f t="shared" si="51"/>
        <v>32540</v>
      </c>
      <c r="L152" s="19">
        <v>105340</v>
      </c>
    </row>
    <row r="153" spans="2:19" ht="18.5" customHeight="1">
      <c r="B153" s="13">
        <v>442</v>
      </c>
      <c r="C153" s="13" t="s">
        <v>19</v>
      </c>
      <c r="D153" s="14" t="s">
        <v>34</v>
      </c>
      <c r="E153" s="8">
        <v>9913500</v>
      </c>
      <c r="F153" s="8">
        <v>8900900</v>
      </c>
      <c r="G153" s="8">
        <v>0</v>
      </c>
      <c r="H153" s="5">
        <f t="shared" si="48"/>
        <v>8900900</v>
      </c>
      <c r="I153" s="5">
        <f t="shared" si="49"/>
        <v>1012600</v>
      </c>
      <c r="J153" s="7">
        <f t="shared" si="50"/>
        <v>0.89785645836485606</v>
      </c>
      <c r="K153" s="6">
        <f t="shared" si="51"/>
        <v>202520</v>
      </c>
      <c r="L153" s="4">
        <v>239394</v>
      </c>
      <c r="M153" s="4"/>
    </row>
    <row r="154" spans="2:19" ht="18.5" customHeight="1">
      <c r="B154" s="16">
        <v>442</v>
      </c>
      <c r="C154" s="16" t="s">
        <v>20</v>
      </c>
      <c r="D154" s="17" t="s">
        <v>34</v>
      </c>
      <c r="E154" s="11">
        <v>17956800</v>
      </c>
      <c r="F154" s="8">
        <v>16499700</v>
      </c>
      <c r="G154" s="8">
        <v>0</v>
      </c>
      <c r="H154" s="5">
        <f t="shared" si="48"/>
        <v>16499700</v>
      </c>
      <c r="I154" s="5">
        <f t="shared" si="49"/>
        <v>1457100</v>
      </c>
      <c r="J154" s="7">
        <f t="shared" si="50"/>
        <v>0.918855252606255</v>
      </c>
      <c r="K154" s="6">
        <f t="shared" si="51"/>
        <v>291420</v>
      </c>
      <c r="L154" s="19">
        <v>193464.74</v>
      </c>
    </row>
    <row r="155" spans="2:19" ht="18.5" customHeight="1">
      <c r="B155" s="16">
        <v>442</v>
      </c>
      <c r="C155" s="13" t="s">
        <v>21</v>
      </c>
      <c r="D155" s="17" t="s">
        <v>34</v>
      </c>
      <c r="E155" s="5">
        <v>17113199.997696348</v>
      </c>
      <c r="F155" s="5">
        <v>15734015.789114185</v>
      </c>
      <c r="G155" s="5">
        <v>449773.31996043341</v>
      </c>
      <c r="H155" s="5">
        <f t="shared" si="48"/>
        <v>16183789.109074619</v>
      </c>
      <c r="I155" s="5">
        <f t="shared" si="49"/>
        <v>929410.88862172887</v>
      </c>
      <c r="J155" s="7">
        <f t="shared" si="50"/>
        <v>0.94569040923107084</v>
      </c>
      <c r="K155" s="6">
        <f t="shared" si="51"/>
        <v>185882.17772434579</v>
      </c>
      <c r="L155" s="19">
        <v>174228.75</v>
      </c>
    </row>
    <row r="156" spans="2:19" s="24" customFormat="1" ht="18.5" customHeight="1">
      <c r="B156" s="27"/>
      <c r="C156" s="27"/>
      <c r="D156" s="28" t="s">
        <v>22</v>
      </c>
      <c r="E156" s="23">
        <f>SUM(E147:E155)/9</f>
        <v>11281561.777521815</v>
      </c>
      <c r="F156" s="23">
        <f>SUM(F147:F155)/9</f>
        <v>9972652.4210126866</v>
      </c>
      <c r="G156" s="23">
        <f>SUM(G147:G155)/9</f>
        <v>814708.1466622703</v>
      </c>
      <c r="H156" s="23">
        <f>SUM(H147:H155)/9</f>
        <v>10787360.567674957</v>
      </c>
      <c r="I156" s="23">
        <f>SUM(I147:I155)/9</f>
        <v>494201.20984685875</v>
      </c>
      <c r="J156" s="29">
        <f>SUM(H156/E156)</f>
        <v>0.95619390119978431</v>
      </c>
      <c r="K156" s="23">
        <f>SUM(K147:K155)/9</f>
        <v>98840.241969371753</v>
      </c>
      <c r="L156" s="20">
        <f>SUM(L147:L155)/9</f>
        <v>110384.28777777778</v>
      </c>
      <c r="M156" s="20"/>
    </row>
    <row r="157" spans="2:19" s="24" customFormat="1" ht="18.5" customHeight="1">
      <c r="B157" s="27"/>
      <c r="C157" s="27"/>
      <c r="D157" s="28"/>
      <c r="E157" s="23"/>
      <c r="F157" s="23"/>
      <c r="G157" s="23"/>
      <c r="H157" s="23"/>
      <c r="I157" s="23"/>
      <c r="J157" s="29"/>
      <c r="K157" s="23"/>
      <c r="L157" s="20"/>
      <c r="M157" s="20"/>
    </row>
    <row r="158" spans="2:19" s="25" customFormat="1" ht="45.95" customHeight="1">
      <c r="B158" s="31" t="s">
        <v>1</v>
      </c>
      <c r="C158" s="31" t="s">
        <v>2</v>
      </c>
      <c r="D158" s="38" t="s">
        <v>3</v>
      </c>
      <c r="E158" s="37" t="s">
        <v>4</v>
      </c>
      <c r="F158" s="32" t="s">
        <v>5</v>
      </c>
      <c r="G158" s="32" t="s">
        <v>6</v>
      </c>
      <c r="H158" s="33" t="s">
        <v>7</v>
      </c>
      <c r="I158" s="33" t="s">
        <v>8</v>
      </c>
      <c r="J158" s="34" t="s">
        <v>9</v>
      </c>
      <c r="K158" s="33" t="s">
        <v>10</v>
      </c>
      <c r="L158" s="35" t="s">
        <v>11</v>
      </c>
      <c r="M158" s="36"/>
      <c r="N158" s="39"/>
      <c r="O158" s="40"/>
      <c r="P158" s="41"/>
      <c r="Q158" s="40"/>
      <c r="R158" s="42"/>
      <c r="S158" s="43"/>
    </row>
    <row r="159" spans="2:19" ht="18.5" customHeight="1">
      <c r="B159" s="13">
        <v>444</v>
      </c>
      <c r="C159" s="13" t="s">
        <v>12</v>
      </c>
      <c r="D159" s="14" t="s">
        <v>35</v>
      </c>
      <c r="E159" s="6">
        <v>4949660816</v>
      </c>
      <c r="F159" s="5">
        <v>2330450556</v>
      </c>
      <c r="G159" s="5">
        <v>2556726083</v>
      </c>
      <c r="H159" s="5">
        <f t="shared" ref="H159:H167" si="52">SUM(F159+G159)</f>
        <v>4887176639</v>
      </c>
      <c r="I159" s="5">
        <f t="shared" ref="I159:I167" si="53">SUM(E159-H159)</f>
        <v>62484177</v>
      </c>
      <c r="J159" s="7">
        <f t="shared" ref="J159:J167" si="54">SUM(H159/E159)</f>
        <v>0.98737606892213359</v>
      </c>
      <c r="K159" s="6">
        <f t="shared" ref="K159:K167" si="55">SUM(I159*0.2)</f>
        <v>12496835.4</v>
      </c>
      <c r="L159" s="19">
        <v>20060611.470000003</v>
      </c>
    </row>
    <row r="160" spans="2:19" ht="18.5" customHeight="1">
      <c r="B160" s="13">
        <v>444</v>
      </c>
      <c r="C160" s="13" t="s">
        <v>14</v>
      </c>
      <c r="D160" s="14" t="s">
        <v>35</v>
      </c>
      <c r="E160" s="6">
        <v>5713645898</v>
      </c>
      <c r="F160" s="5">
        <v>3468813657</v>
      </c>
      <c r="G160" s="5">
        <v>2163774379</v>
      </c>
      <c r="H160" s="5">
        <f t="shared" si="52"/>
        <v>5632588036</v>
      </c>
      <c r="I160" s="5">
        <f t="shared" si="53"/>
        <v>81057862</v>
      </c>
      <c r="J160" s="7">
        <f t="shared" si="54"/>
        <v>0.98581328569410065</v>
      </c>
      <c r="K160" s="6">
        <f t="shared" si="55"/>
        <v>16211572.4</v>
      </c>
      <c r="L160" s="19">
        <v>23224564.91</v>
      </c>
    </row>
    <row r="161" spans="2:19" ht="18.5" customHeight="1">
      <c r="B161" s="13">
        <v>444</v>
      </c>
      <c r="C161" s="13" t="s">
        <v>15</v>
      </c>
      <c r="D161" s="14" t="s">
        <v>35</v>
      </c>
      <c r="E161" s="6">
        <v>5737701641</v>
      </c>
      <c r="F161" s="5">
        <v>3970865511</v>
      </c>
      <c r="G161" s="5">
        <v>1720479252</v>
      </c>
      <c r="H161" s="5">
        <f t="shared" si="52"/>
        <v>5691344763</v>
      </c>
      <c r="I161" s="5">
        <f t="shared" si="53"/>
        <v>46356878</v>
      </c>
      <c r="J161" s="7">
        <f t="shared" si="54"/>
        <v>0.99192065379127647</v>
      </c>
      <c r="K161" s="6">
        <f t="shared" si="55"/>
        <v>9271375.5999999996</v>
      </c>
      <c r="L161" s="19">
        <v>22304229.199999999</v>
      </c>
    </row>
    <row r="162" spans="2:19" ht="18.5" customHeight="1">
      <c r="B162" s="13">
        <v>444</v>
      </c>
      <c r="C162" s="13" t="s">
        <v>16</v>
      </c>
      <c r="D162" s="14" t="s">
        <v>35</v>
      </c>
      <c r="E162" s="6">
        <v>5598628039</v>
      </c>
      <c r="F162" s="5">
        <v>2394859458</v>
      </c>
      <c r="G162" s="5">
        <v>3147689250</v>
      </c>
      <c r="H162" s="5">
        <f t="shared" si="52"/>
        <v>5542548708</v>
      </c>
      <c r="I162" s="5">
        <f t="shared" si="53"/>
        <v>56079331</v>
      </c>
      <c r="J162" s="7">
        <f t="shared" si="54"/>
        <v>0.98998337974779682</v>
      </c>
      <c r="K162" s="6">
        <f t="shared" si="55"/>
        <v>11215866.200000001</v>
      </c>
      <c r="L162" s="19">
        <v>12421179.289999999</v>
      </c>
    </row>
    <row r="163" spans="2:19" ht="18.5" customHeight="1">
      <c r="B163" s="13">
        <v>444</v>
      </c>
      <c r="C163" s="13" t="s">
        <v>17</v>
      </c>
      <c r="D163" s="14" t="s">
        <v>35</v>
      </c>
      <c r="E163" s="6">
        <v>5842566694</v>
      </c>
      <c r="F163" s="5">
        <v>2626417056</v>
      </c>
      <c r="G163" s="5">
        <v>3196136898</v>
      </c>
      <c r="H163" s="5">
        <f t="shared" si="52"/>
        <v>5822553954</v>
      </c>
      <c r="I163" s="5">
        <f t="shared" si="53"/>
        <v>20012740</v>
      </c>
      <c r="J163" s="7">
        <f t="shared" si="54"/>
        <v>0.99657466640123216</v>
      </c>
      <c r="K163" s="6">
        <f t="shared" si="55"/>
        <v>4002548</v>
      </c>
      <c r="L163" s="19">
        <v>21031976</v>
      </c>
    </row>
    <row r="164" spans="2:19" ht="18.5" customHeight="1">
      <c r="B164" s="13">
        <v>444</v>
      </c>
      <c r="C164" s="13" t="s">
        <v>18</v>
      </c>
      <c r="D164" s="14" t="s">
        <v>35</v>
      </c>
      <c r="E164" s="6">
        <v>5873534984</v>
      </c>
      <c r="F164" s="5">
        <v>2696762462</v>
      </c>
      <c r="G164" s="5">
        <v>3163924534</v>
      </c>
      <c r="H164" s="5">
        <f t="shared" si="52"/>
        <v>5860686996</v>
      </c>
      <c r="I164" s="5">
        <f t="shared" si="53"/>
        <v>12847988</v>
      </c>
      <c r="J164" s="7">
        <f t="shared" si="54"/>
        <v>0.99781256295655019</v>
      </c>
      <c r="K164" s="6">
        <f t="shared" si="55"/>
        <v>2569597.6</v>
      </c>
      <c r="L164" s="19">
        <v>16747790</v>
      </c>
    </row>
    <row r="165" spans="2:19" ht="18.5" customHeight="1">
      <c r="B165" s="13">
        <v>444</v>
      </c>
      <c r="C165" s="13" t="s">
        <v>19</v>
      </c>
      <c r="D165" s="14" t="s">
        <v>35</v>
      </c>
      <c r="E165" s="50">
        <v>5677409229</v>
      </c>
      <c r="F165" s="50">
        <v>2582086413.0000005</v>
      </c>
      <c r="G165" s="10">
        <v>3074960665</v>
      </c>
      <c r="H165" s="5">
        <f t="shared" si="52"/>
        <v>5657047078</v>
      </c>
      <c r="I165" s="5">
        <f t="shared" si="53"/>
        <v>20362151</v>
      </c>
      <c r="J165" s="7">
        <f t="shared" si="54"/>
        <v>0.99641347837038219</v>
      </c>
      <c r="K165" s="6">
        <f t="shared" si="55"/>
        <v>4072430.2</v>
      </c>
      <c r="L165" s="4">
        <v>21257420</v>
      </c>
      <c r="M165" s="4"/>
    </row>
    <row r="166" spans="2:19" ht="18.5" customHeight="1">
      <c r="B166" s="13">
        <v>444</v>
      </c>
      <c r="C166" s="13" t="s">
        <v>20</v>
      </c>
      <c r="D166" s="14" t="s">
        <v>35</v>
      </c>
      <c r="E166" s="50">
        <v>6919919700</v>
      </c>
      <c r="F166" s="50">
        <v>6851289885</v>
      </c>
      <c r="G166" s="10">
        <v>35223347</v>
      </c>
      <c r="H166" s="5">
        <f t="shared" si="52"/>
        <v>6886513232</v>
      </c>
      <c r="I166" s="5">
        <f t="shared" si="53"/>
        <v>33406468</v>
      </c>
      <c r="J166" s="7">
        <f t="shared" si="54"/>
        <v>0.99517241970307835</v>
      </c>
      <c r="K166" s="6">
        <f t="shared" si="55"/>
        <v>6681293.6000000006</v>
      </c>
      <c r="L166" s="19">
        <v>33335960.239999998</v>
      </c>
    </row>
    <row r="167" spans="2:19" ht="18.5" customHeight="1">
      <c r="B167" s="13">
        <v>444</v>
      </c>
      <c r="C167" s="13" t="s">
        <v>21</v>
      </c>
      <c r="D167" s="14" t="s">
        <v>35</v>
      </c>
      <c r="E167" s="5">
        <v>7692727800</v>
      </c>
      <c r="F167" s="5">
        <v>4063841056.1100001</v>
      </c>
      <c r="G167" s="5">
        <v>3595302408</v>
      </c>
      <c r="H167" s="5">
        <f t="shared" si="52"/>
        <v>7659143464.1100006</v>
      </c>
      <c r="I167" s="5">
        <f t="shared" si="53"/>
        <v>33584335.88999939</v>
      </c>
      <c r="J167" s="7">
        <f t="shared" si="54"/>
        <v>0.99563427476401811</v>
      </c>
      <c r="K167" s="6">
        <f t="shared" si="55"/>
        <v>6716867.1779998783</v>
      </c>
      <c r="L167" s="19">
        <v>52025271.189999998</v>
      </c>
    </row>
    <row r="168" spans="2:19" s="24" customFormat="1" ht="18.5" customHeight="1">
      <c r="B168" s="27"/>
      <c r="C168" s="27"/>
      <c r="D168" s="28" t="s">
        <v>22</v>
      </c>
      <c r="E168" s="23">
        <f>SUM(E159:E167)/9</f>
        <v>6000643866.7777777</v>
      </c>
      <c r="F168" s="23">
        <f>SUM(F159:F167)/9</f>
        <v>3442820672.6788888</v>
      </c>
      <c r="G168" s="23">
        <f>SUM(G159:G167)/9</f>
        <v>2517135201.7777777</v>
      </c>
      <c r="H168" s="23">
        <f>SUM(H159:H167)/9</f>
        <v>5959955874.4566669</v>
      </c>
      <c r="I168" s="23">
        <f>SUM(I159:I167)/9</f>
        <v>40687992.321111046</v>
      </c>
      <c r="J168" s="29">
        <f>SUM(H168/E168)</f>
        <v>0.9932193955808013</v>
      </c>
      <c r="K168" s="23">
        <f>SUM(K159:K167)/9</f>
        <v>8137598.4642222095</v>
      </c>
      <c r="L168" s="20">
        <f>SUM(L159:L167)/9</f>
        <v>24712111.366666667</v>
      </c>
      <c r="M168" s="20"/>
    </row>
    <row r="169" spans="2:19" s="24" customFormat="1" ht="18.5" customHeight="1">
      <c r="B169" s="27"/>
      <c r="C169" s="27"/>
      <c r="D169" s="28"/>
      <c r="E169" s="23"/>
      <c r="F169" s="23"/>
      <c r="G169" s="23"/>
      <c r="H169" s="23"/>
      <c r="I169" s="23"/>
      <c r="J169" s="29"/>
      <c r="K169" s="23"/>
      <c r="L169" s="20"/>
      <c r="M169" s="20"/>
    </row>
    <row r="170" spans="2:19" s="25" customFormat="1" ht="45.95" customHeight="1">
      <c r="B170" s="31" t="s">
        <v>1</v>
      </c>
      <c r="C170" s="31" t="s">
        <v>2</v>
      </c>
      <c r="D170" s="38" t="s">
        <v>3</v>
      </c>
      <c r="E170" s="37" t="s">
        <v>4</v>
      </c>
      <c r="F170" s="32" t="s">
        <v>5</v>
      </c>
      <c r="G170" s="32" t="s">
        <v>6</v>
      </c>
      <c r="H170" s="33" t="s">
        <v>7</v>
      </c>
      <c r="I170" s="33" t="s">
        <v>8</v>
      </c>
      <c r="J170" s="34" t="s">
        <v>9</v>
      </c>
      <c r="K170" s="33" t="s">
        <v>10</v>
      </c>
      <c r="L170" s="35" t="s">
        <v>11</v>
      </c>
      <c r="M170" s="36"/>
      <c r="N170" s="39"/>
      <c r="O170" s="40"/>
      <c r="P170" s="41"/>
      <c r="Q170" s="40"/>
      <c r="R170" s="42"/>
      <c r="S170" s="43"/>
    </row>
    <row r="171" spans="2:19" ht="18.5" customHeight="1">
      <c r="B171" s="13">
        <v>445</v>
      </c>
      <c r="C171" s="13" t="s">
        <v>12</v>
      </c>
      <c r="D171" s="14" t="s">
        <v>36</v>
      </c>
      <c r="E171" s="6">
        <v>3913500</v>
      </c>
      <c r="F171" s="5">
        <v>887337</v>
      </c>
      <c r="G171" s="5">
        <v>2960828</v>
      </c>
      <c r="H171" s="5">
        <f t="shared" ref="H171:H179" si="56">SUM(F171+G171)</f>
        <v>3848165</v>
      </c>
      <c r="I171" s="5">
        <f t="shared" ref="I171:I179" si="57">SUM(E171-H171)</f>
        <v>65335</v>
      </c>
      <c r="J171" s="7">
        <f t="shared" ref="J171:J179" si="58">SUM(H171/E171)</f>
        <v>0.98330522550146926</v>
      </c>
      <c r="K171" s="6">
        <f t="shared" ref="K171:K179" si="59">SUM(I171*0.2)</f>
        <v>13067</v>
      </c>
      <c r="L171" s="19">
        <v>11669.99</v>
      </c>
    </row>
    <row r="172" spans="2:19" ht="18.5" customHeight="1">
      <c r="B172" s="13">
        <v>445</v>
      </c>
      <c r="C172" s="13" t="s">
        <v>14</v>
      </c>
      <c r="D172" s="14" t="s">
        <v>36</v>
      </c>
      <c r="E172" s="6">
        <v>2626552</v>
      </c>
      <c r="F172" s="5">
        <v>925982</v>
      </c>
      <c r="G172" s="5">
        <v>1493625</v>
      </c>
      <c r="H172" s="5">
        <f t="shared" si="56"/>
        <v>2419607</v>
      </c>
      <c r="I172" s="5">
        <f t="shared" si="57"/>
        <v>206945</v>
      </c>
      <c r="J172" s="7">
        <f t="shared" si="58"/>
        <v>0.92121039294101159</v>
      </c>
      <c r="K172" s="6">
        <f t="shared" si="59"/>
        <v>41389</v>
      </c>
      <c r="L172" s="19">
        <v>77425.98</v>
      </c>
    </row>
    <row r="173" spans="2:19" ht="18.5" customHeight="1">
      <c r="B173" s="13">
        <v>445</v>
      </c>
      <c r="C173" s="13" t="s">
        <v>15</v>
      </c>
      <c r="D173" s="14" t="s">
        <v>36</v>
      </c>
      <c r="E173" s="6">
        <v>1903647</v>
      </c>
      <c r="F173" s="5">
        <v>1099497</v>
      </c>
      <c r="G173" s="5">
        <v>793079</v>
      </c>
      <c r="H173" s="5">
        <f t="shared" si="56"/>
        <v>1892576</v>
      </c>
      <c r="I173" s="5">
        <f t="shared" si="57"/>
        <v>11071</v>
      </c>
      <c r="J173" s="7">
        <f t="shared" si="58"/>
        <v>0.99418432093765285</v>
      </c>
      <c r="K173" s="6">
        <f t="shared" si="59"/>
        <v>2214.2000000000003</v>
      </c>
      <c r="L173" s="19">
        <v>112848.06</v>
      </c>
    </row>
    <row r="174" spans="2:19" ht="18.5" customHeight="1">
      <c r="B174" s="13">
        <v>445</v>
      </c>
      <c r="C174" s="13" t="s">
        <v>16</v>
      </c>
      <c r="D174" s="14" t="s">
        <v>36</v>
      </c>
      <c r="E174" s="6">
        <v>4287510</v>
      </c>
      <c r="F174" s="5">
        <v>1043849</v>
      </c>
      <c r="G174" s="5">
        <v>3196413</v>
      </c>
      <c r="H174" s="5">
        <f t="shared" si="56"/>
        <v>4240262</v>
      </c>
      <c r="I174" s="5">
        <f t="shared" si="57"/>
        <v>47248</v>
      </c>
      <c r="J174" s="7">
        <f t="shared" si="58"/>
        <v>0.98898008401146587</v>
      </c>
      <c r="K174" s="6">
        <f t="shared" si="59"/>
        <v>9449.6</v>
      </c>
      <c r="L174" s="19">
        <v>84514.37999999999</v>
      </c>
    </row>
    <row r="175" spans="2:19" ht="18.5" customHeight="1">
      <c r="B175" s="13">
        <v>445</v>
      </c>
      <c r="C175" s="13" t="s">
        <v>17</v>
      </c>
      <c r="D175" s="14" t="s">
        <v>36</v>
      </c>
      <c r="E175" s="6">
        <v>3606625</v>
      </c>
      <c r="F175" s="5">
        <v>1101964</v>
      </c>
      <c r="G175" s="5">
        <v>2457413</v>
      </c>
      <c r="H175" s="5">
        <f t="shared" si="56"/>
        <v>3559377</v>
      </c>
      <c r="I175" s="5">
        <f t="shared" si="57"/>
        <v>47248</v>
      </c>
      <c r="J175" s="7">
        <f t="shared" si="58"/>
        <v>0.98689966381312166</v>
      </c>
      <c r="K175" s="6">
        <f t="shared" si="59"/>
        <v>9449.6</v>
      </c>
      <c r="L175" s="19">
        <v>24007</v>
      </c>
    </row>
    <row r="176" spans="2:19" ht="18.5" customHeight="1">
      <c r="B176" s="13">
        <v>445</v>
      </c>
      <c r="C176" s="13" t="s">
        <v>18</v>
      </c>
      <c r="D176" s="14" t="s">
        <v>36</v>
      </c>
      <c r="E176" s="6">
        <v>5047930</v>
      </c>
      <c r="F176" s="5">
        <v>1160769</v>
      </c>
      <c r="G176" s="5">
        <v>3839905</v>
      </c>
      <c r="H176" s="5">
        <f t="shared" si="56"/>
        <v>5000674</v>
      </c>
      <c r="I176" s="5">
        <f t="shared" si="57"/>
        <v>47256</v>
      </c>
      <c r="J176" s="7">
        <f t="shared" si="58"/>
        <v>0.99063853896547693</v>
      </c>
      <c r="K176" s="6">
        <f t="shared" si="59"/>
        <v>9451.2000000000007</v>
      </c>
      <c r="L176" s="19">
        <v>85870</v>
      </c>
    </row>
    <row r="177" spans="2:19" ht="18.5" customHeight="1">
      <c r="B177" s="13">
        <v>445</v>
      </c>
      <c r="C177" s="13" t="s">
        <v>19</v>
      </c>
      <c r="D177" s="14" t="s">
        <v>36</v>
      </c>
      <c r="E177" s="11">
        <v>11912379</v>
      </c>
      <c r="F177" s="8">
        <v>1792718</v>
      </c>
      <c r="G177" s="8">
        <v>10007613</v>
      </c>
      <c r="H177" s="5">
        <f t="shared" si="56"/>
        <v>11800331</v>
      </c>
      <c r="I177" s="5">
        <f t="shared" si="57"/>
        <v>112048</v>
      </c>
      <c r="J177" s="7">
        <f t="shared" si="58"/>
        <v>0.99059398630617779</v>
      </c>
      <c r="K177" s="6">
        <f t="shared" si="59"/>
        <v>22409.600000000002</v>
      </c>
      <c r="L177" s="4">
        <v>199440</v>
      </c>
      <c r="M177" s="4"/>
    </row>
    <row r="178" spans="2:19" ht="18.5" customHeight="1">
      <c r="B178" s="13">
        <v>445</v>
      </c>
      <c r="C178" s="13" t="s">
        <v>20</v>
      </c>
      <c r="D178" s="14" t="s">
        <v>36</v>
      </c>
      <c r="E178" s="11">
        <v>6900509</v>
      </c>
      <c r="F178" s="8">
        <v>1708809</v>
      </c>
      <c r="G178" s="8">
        <v>8400</v>
      </c>
      <c r="H178" s="5">
        <f t="shared" si="56"/>
        <v>1717209</v>
      </c>
      <c r="I178" s="5">
        <f t="shared" si="57"/>
        <v>5183300</v>
      </c>
      <c r="J178" s="7">
        <f t="shared" si="58"/>
        <v>0.24885251218424612</v>
      </c>
      <c r="K178" s="6">
        <f t="shared" si="59"/>
        <v>1036660</v>
      </c>
      <c r="L178" s="19">
        <v>216634.51</v>
      </c>
    </row>
    <row r="179" spans="2:19" ht="18.5" customHeight="1">
      <c r="B179" s="13">
        <v>445</v>
      </c>
      <c r="C179" s="13" t="s">
        <v>21</v>
      </c>
      <c r="D179" s="14" t="s">
        <v>36</v>
      </c>
      <c r="E179" s="5">
        <v>11138100</v>
      </c>
      <c r="F179" s="5">
        <v>2263281</v>
      </c>
      <c r="G179" s="5">
        <v>0</v>
      </c>
      <c r="H179" s="5">
        <f t="shared" si="56"/>
        <v>2263281</v>
      </c>
      <c r="I179" s="5">
        <f t="shared" si="57"/>
        <v>8874819</v>
      </c>
      <c r="J179" s="7">
        <f t="shared" si="58"/>
        <v>0.2032017130390282</v>
      </c>
      <c r="K179" s="6">
        <f t="shared" si="59"/>
        <v>1774963.8</v>
      </c>
      <c r="L179" s="19">
        <v>503186.3</v>
      </c>
    </row>
    <row r="180" spans="2:19" s="24" customFormat="1" ht="18.5" customHeight="1">
      <c r="B180" s="27"/>
      <c r="C180" s="27"/>
      <c r="D180" s="28" t="s">
        <v>22</v>
      </c>
      <c r="E180" s="23">
        <f>SUM(E171:E179)/9</f>
        <v>5704083.555555556</v>
      </c>
      <c r="F180" s="23">
        <f>SUM(F171:F179)/9</f>
        <v>1331578.4444444445</v>
      </c>
      <c r="G180" s="23">
        <f>SUM(G171:G179)/9</f>
        <v>2750808.4444444445</v>
      </c>
      <c r="H180" s="23">
        <f>SUM(H171:H179)/9</f>
        <v>4082386.888888889</v>
      </c>
      <c r="I180" s="23">
        <f>SUM(I171:I179)/9</f>
        <v>1621696.6666666667</v>
      </c>
      <c r="J180" s="29">
        <f>SUM(H180/E180)</f>
        <v>0.71569549238331243</v>
      </c>
      <c r="K180" s="23">
        <f>SUM(K171:K179)/9</f>
        <v>324339.33333333331</v>
      </c>
      <c r="L180" s="20">
        <f>SUM(L171:L179)/9</f>
        <v>146177.35777777777</v>
      </c>
      <c r="M180" s="20"/>
    </row>
    <row r="181" spans="2:19" s="24" customFormat="1" ht="18.5" customHeight="1">
      <c r="B181" s="27"/>
      <c r="C181" s="27"/>
      <c r="D181" s="28"/>
      <c r="E181" s="23"/>
      <c r="F181" s="23"/>
      <c r="G181" s="23"/>
      <c r="H181" s="23"/>
      <c r="I181" s="23"/>
      <c r="J181" s="29"/>
      <c r="K181" s="23"/>
      <c r="L181" s="20"/>
      <c r="M181" s="20"/>
    </row>
    <row r="182" spans="2:19" s="25" customFormat="1" ht="45.95" customHeight="1">
      <c r="B182" s="31" t="s">
        <v>1</v>
      </c>
      <c r="C182" s="31" t="s">
        <v>2</v>
      </c>
      <c r="D182" s="38" t="s">
        <v>3</v>
      </c>
      <c r="E182" s="37" t="s">
        <v>4</v>
      </c>
      <c r="F182" s="32" t="s">
        <v>5</v>
      </c>
      <c r="G182" s="32" t="s">
        <v>6</v>
      </c>
      <c r="H182" s="33" t="s">
        <v>7</v>
      </c>
      <c r="I182" s="33" t="s">
        <v>8</v>
      </c>
      <c r="J182" s="34" t="s">
        <v>9</v>
      </c>
      <c r="K182" s="33" t="s">
        <v>10</v>
      </c>
      <c r="L182" s="35" t="s">
        <v>11</v>
      </c>
      <c r="M182" s="36"/>
      <c r="N182" s="39"/>
      <c r="O182" s="40"/>
      <c r="P182" s="41"/>
      <c r="Q182" s="40"/>
      <c r="R182" s="42"/>
      <c r="S182" s="43"/>
    </row>
    <row r="183" spans="2:19" ht="18.5" customHeight="1">
      <c r="B183" s="13">
        <v>446</v>
      </c>
      <c r="C183" s="13" t="s">
        <v>12</v>
      </c>
      <c r="D183" s="14" t="s">
        <v>37</v>
      </c>
      <c r="E183" s="6">
        <v>47894200</v>
      </c>
      <c r="F183" s="5">
        <v>37009000</v>
      </c>
      <c r="G183" s="5">
        <v>9496622</v>
      </c>
      <c r="H183" s="5">
        <f t="shared" ref="H183:H191" si="60">SUM(F183+G183)</f>
        <v>46505622</v>
      </c>
      <c r="I183" s="5">
        <f t="shared" ref="I183:I191" si="61">SUM(E183-H183)</f>
        <v>1388578</v>
      </c>
      <c r="J183" s="7">
        <f t="shared" ref="J183:J191" si="62">SUM(H183/E183)</f>
        <v>0.97100738711576762</v>
      </c>
      <c r="K183" s="6">
        <f t="shared" ref="K183:K191" si="63">SUM(I183*0.2)</f>
        <v>277715.60000000003</v>
      </c>
      <c r="L183" s="19">
        <v>316928.68000000005</v>
      </c>
    </row>
    <row r="184" spans="2:19" ht="18.5" customHeight="1">
      <c r="B184" s="13">
        <v>446</v>
      </c>
      <c r="C184" s="13" t="s">
        <v>14</v>
      </c>
      <c r="D184" s="14" t="s">
        <v>37</v>
      </c>
      <c r="E184" s="6">
        <v>53623500</v>
      </c>
      <c r="F184" s="5">
        <v>46869000</v>
      </c>
      <c r="G184" s="5">
        <v>5420361</v>
      </c>
      <c r="H184" s="5">
        <f t="shared" si="60"/>
        <v>52289361</v>
      </c>
      <c r="I184" s="5">
        <f t="shared" si="61"/>
        <v>1334139</v>
      </c>
      <c r="J184" s="7">
        <f t="shared" si="62"/>
        <v>0.97512025511203115</v>
      </c>
      <c r="K184" s="6">
        <f t="shared" si="63"/>
        <v>266827.8</v>
      </c>
      <c r="L184" s="19">
        <v>15237693.609999999</v>
      </c>
    </row>
    <row r="185" spans="2:19" ht="18.5" customHeight="1">
      <c r="B185" s="13">
        <v>446</v>
      </c>
      <c r="C185" s="13" t="s">
        <v>15</v>
      </c>
      <c r="D185" s="14" t="s">
        <v>37</v>
      </c>
      <c r="E185" s="6">
        <v>55956300</v>
      </c>
      <c r="F185" s="5">
        <v>49372900</v>
      </c>
      <c r="G185" s="5">
        <v>5209715</v>
      </c>
      <c r="H185" s="5">
        <f t="shared" si="60"/>
        <v>54582615</v>
      </c>
      <c r="I185" s="5">
        <f t="shared" si="61"/>
        <v>1373685</v>
      </c>
      <c r="J185" s="7">
        <f t="shared" si="62"/>
        <v>0.97545075353445454</v>
      </c>
      <c r="K185" s="6">
        <f t="shared" si="63"/>
        <v>274737</v>
      </c>
      <c r="L185" s="19">
        <v>11388772.82</v>
      </c>
    </row>
    <row r="186" spans="2:19" ht="18.5" customHeight="1">
      <c r="B186" s="13">
        <v>446</v>
      </c>
      <c r="C186" s="13" t="s">
        <v>16</v>
      </c>
      <c r="D186" s="14" t="s">
        <v>37</v>
      </c>
      <c r="E186" s="6">
        <v>56692100</v>
      </c>
      <c r="F186" s="5">
        <v>49333700</v>
      </c>
      <c r="G186" s="5">
        <v>6514325</v>
      </c>
      <c r="H186" s="5">
        <f t="shared" si="60"/>
        <v>55848025</v>
      </c>
      <c r="I186" s="5">
        <f t="shared" si="61"/>
        <v>844075</v>
      </c>
      <c r="J186" s="7">
        <f t="shared" si="62"/>
        <v>0.98511124124878069</v>
      </c>
      <c r="K186" s="6">
        <f t="shared" si="63"/>
        <v>168815</v>
      </c>
      <c r="L186" s="19">
        <v>733393.58</v>
      </c>
    </row>
    <row r="187" spans="2:19" ht="18.5" customHeight="1">
      <c r="B187" s="13">
        <v>446</v>
      </c>
      <c r="C187" s="13" t="s">
        <v>17</v>
      </c>
      <c r="D187" s="14" t="s">
        <v>37</v>
      </c>
      <c r="E187" s="6">
        <v>50593000</v>
      </c>
      <c r="F187" s="5">
        <v>43485000</v>
      </c>
      <c r="G187" s="5">
        <v>6143925</v>
      </c>
      <c r="H187" s="5">
        <f t="shared" si="60"/>
        <v>49628925</v>
      </c>
      <c r="I187" s="5">
        <f t="shared" si="61"/>
        <v>964075</v>
      </c>
      <c r="J187" s="7">
        <f t="shared" si="62"/>
        <v>0.98094449825074614</v>
      </c>
      <c r="K187" s="6">
        <f t="shared" si="63"/>
        <v>192815</v>
      </c>
      <c r="L187" s="19">
        <v>128142</v>
      </c>
    </row>
    <row r="188" spans="2:19" ht="18.5" customHeight="1">
      <c r="B188" s="13">
        <v>446</v>
      </c>
      <c r="C188" s="13" t="s">
        <v>18</v>
      </c>
      <c r="D188" s="14" t="s">
        <v>37</v>
      </c>
      <c r="E188" s="6">
        <v>53594631</v>
      </c>
      <c r="F188" s="5">
        <v>42378297</v>
      </c>
      <c r="G188" s="5">
        <v>6541648</v>
      </c>
      <c r="H188" s="5">
        <f t="shared" si="60"/>
        <v>48919945</v>
      </c>
      <c r="I188" s="5">
        <f t="shared" si="61"/>
        <v>4674686</v>
      </c>
      <c r="J188" s="7">
        <f t="shared" si="62"/>
        <v>0.91277697200676688</v>
      </c>
      <c r="K188" s="6">
        <f t="shared" si="63"/>
        <v>934937.20000000007</v>
      </c>
      <c r="L188" s="19">
        <v>201219</v>
      </c>
    </row>
    <row r="189" spans="2:19" ht="18.5" customHeight="1">
      <c r="B189" s="13">
        <v>446</v>
      </c>
      <c r="C189" s="13" t="s">
        <v>19</v>
      </c>
      <c r="D189" s="14" t="s">
        <v>37</v>
      </c>
      <c r="E189" s="8">
        <v>49171900</v>
      </c>
      <c r="F189" s="8">
        <v>41916750</v>
      </c>
      <c r="G189" s="8">
        <v>0</v>
      </c>
      <c r="H189" s="5">
        <f t="shared" si="60"/>
        <v>41916750</v>
      </c>
      <c r="I189" s="5">
        <f t="shared" si="61"/>
        <v>7255150</v>
      </c>
      <c r="J189" s="7">
        <f t="shared" si="62"/>
        <v>0.85245333208600849</v>
      </c>
      <c r="K189" s="6">
        <f t="shared" si="63"/>
        <v>1451030</v>
      </c>
      <c r="L189" s="4">
        <v>140642</v>
      </c>
      <c r="M189" s="4"/>
    </row>
    <row r="190" spans="2:19" ht="18.5" customHeight="1">
      <c r="B190" s="13">
        <v>446</v>
      </c>
      <c r="C190" s="13" t="s">
        <v>20</v>
      </c>
      <c r="D190" s="14" t="s">
        <v>37</v>
      </c>
      <c r="E190" s="8">
        <v>53427400</v>
      </c>
      <c r="F190" s="8">
        <v>46421900</v>
      </c>
      <c r="G190" s="8">
        <v>653800</v>
      </c>
      <c r="H190" s="5">
        <f t="shared" si="60"/>
        <v>47075700</v>
      </c>
      <c r="I190" s="5">
        <f t="shared" si="61"/>
        <v>6351700</v>
      </c>
      <c r="J190" s="7">
        <f t="shared" si="62"/>
        <v>0.88111530787573422</v>
      </c>
      <c r="K190" s="6">
        <f t="shared" si="63"/>
        <v>1270340</v>
      </c>
      <c r="L190" s="19">
        <v>355176.66</v>
      </c>
    </row>
    <row r="191" spans="2:19" ht="18.5" customHeight="1">
      <c r="B191" s="13">
        <v>446</v>
      </c>
      <c r="C191" s="13" t="s">
        <v>21</v>
      </c>
      <c r="D191" s="14" t="s">
        <v>37</v>
      </c>
      <c r="E191" s="5">
        <v>62311600</v>
      </c>
      <c r="F191" s="5">
        <v>60614100</v>
      </c>
      <c r="G191" s="5">
        <v>1005000</v>
      </c>
      <c r="H191" s="5">
        <f t="shared" si="60"/>
        <v>61619100</v>
      </c>
      <c r="I191" s="5">
        <f t="shared" si="61"/>
        <v>692500</v>
      </c>
      <c r="J191" s="7">
        <f t="shared" si="62"/>
        <v>0.98888649946398421</v>
      </c>
      <c r="K191" s="6">
        <f t="shared" si="63"/>
        <v>138500</v>
      </c>
      <c r="L191" s="19">
        <v>2017045.42</v>
      </c>
    </row>
    <row r="192" spans="2:19" s="24" customFormat="1" ht="18.5" customHeight="1">
      <c r="B192" s="27"/>
      <c r="C192" s="27"/>
      <c r="D192" s="28" t="s">
        <v>22</v>
      </c>
      <c r="E192" s="23">
        <f>SUM(E183:E191)/9</f>
        <v>53696070.111111112</v>
      </c>
      <c r="F192" s="23">
        <f>SUM(F183:F191)/9</f>
        <v>46377849.666666664</v>
      </c>
      <c r="G192" s="23">
        <f>SUM(G183:G191)/9</f>
        <v>4553932.888888889</v>
      </c>
      <c r="H192" s="23">
        <f>SUM(H183:H191)/9</f>
        <v>50931782.555555552</v>
      </c>
      <c r="I192" s="23">
        <f>SUM(I183:I191)/9</f>
        <v>2764287.5555555555</v>
      </c>
      <c r="J192" s="29">
        <f>SUM(H192/E192)</f>
        <v>0.94851974176442466</v>
      </c>
      <c r="K192" s="23">
        <f>SUM(K183:K191)/9</f>
        <v>552857.51111111103</v>
      </c>
      <c r="L192" s="20">
        <f>SUM(L183:L191)/9</f>
        <v>3391001.5299999993</v>
      </c>
      <c r="M192" s="20"/>
    </row>
    <row r="193" spans="2:19" s="25" customFormat="1" ht="45.95" customHeight="1">
      <c r="B193" s="31" t="s">
        <v>1</v>
      </c>
      <c r="C193" s="31" t="s">
        <v>2</v>
      </c>
      <c r="D193" s="38" t="s">
        <v>3</v>
      </c>
      <c r="E193" s="37" t="s">
        <v>4</v>
      </c>
      <c r="F193" s="32" t="s">
        <v>5</v>
      </c>
      <c r="G193" s="32" t="s">
        <v>6</v>
      </c>
      <c r="H193" s="33" t="s">
        <v>7</v>
      </c>
      <c r="I193" s="33" t="s">
        <v>8</v>
      </c>
      <c r="J193" s="34" t="s">
        <v>9</v>
      </c>
      <c r="K193" s="33" t="s">
        <v>10</v>
      </c>
      <c r="L193" s="35" t="s">
        <v>11</v>
      </c>
      <c r="M193" s="36"/>
      <c r="N193" s="39"/>
      <c r="O193" s="40"/>
      <c r="P193" s="41"/>
      <c r="Q193" s="40"/>
      <c r="R193" s="42"/>
      <c r="S193" s="43"/>
    </row>
    <row r="194" spans="2:19" ht="18.5" customHeight="1">
      <c r="B194" s="13">
        <v>448</v>
      </c>
      <c r="C194" s="13" t="s">
        <v>17</v>
      </c>
      <c r="D194" s="14" t="s">
        <v>38</v>
      </c>
      <c r="E194" s="6">
        <v>900000000</v>
      </c>
      <c r="F194" s="5">
        <v>183448324</v>
      </c>
      <c r="G194" s="5">
        <v>689497904</v>
      </c>
      <c r="H194" s="5">
        <f>SUM(F194+G194)</f>
        <v>872946228</v>
      </c>
      <c r="I194" s="5">
        <f>SUM(E194-H194)</f>
        <v>27053772</v>
      </c>
      <c r="J194" s="7">
        <f t="shared" ref="J194:J199" si="64">SUM(H194/E194)</f>
        <v>0.96994025333333334</v>
      </c>
      <c r="K194" s="6">
        <f>SUM(I194*0.2)</f>
        <v>5410754.4000000004</v>
      </c>
      <c r="L194" s="19">
        <v>20654512</v>
      </c>
    </row>
    <row r="195" spans="2:19" ht="18.5" customHeight="1">
      <c r="B195" s="13">
        <v>448</v>
      </c>
      <c r="C195" s="13" t="s">
        <v>18</v>
      </c>
      <c r="D195" s="14" t="s">
        <v>38</v>
      </c>
      <c r="E195" s="6">
        <v>700000000</v>
      </c>
      <c r="F195" s="5">
        <v>149670305</v>
      </c>
      <c r="G195" s="5">
        <v>531839135</v>
      </c>
      <c r="H195" s="5">
        <f>SUM(F195+G195)</f>
        <v>681509440</v>
      </c>
      <c r="I195" s="5">
        <f>SUM(E195-H195)</f>
        <v>18490560</v>
      </c>
      <c r="J195" s="7">
        <f t="shared" si="64"/>
        <v>0.97358491428571425</v>
      </c>
      <c r="K195" s="6">
        <f>SUM(I195*0.2)</f>
        <v>3698112</v>
      </c>
      <c r="L195" s="19">
        <v>31187127</v>
      </c>
    </row>
    <row r="196" spans="2:19" ht="18.5" customHeight="1">
      <c r="B196" s="13">
        <v>448</v>
      </c>
      <c r="C196" s="13" t="s">
        <v>19</v>
      </c>
      <c r="D196" s="14" t="s">
        <v>38</v>
      </c>
      <c r="E196" s="8">
        <v>1050000000</v>
      </c>
      <c r="F196" s="8">
        <v>761912918</v>
      </c>
      <c r="G196" s="8">
        <v>126256417</v>
      </c>
      <c r="H196" s="5">
        <f>SUM(F196+G196)</f>
        <v>888169335</v>
      </c>
      <c r="I196" s="5">
        <f>SUM(E196-H196)</f>
        <v>161830665</v>
      </c>
      <c r="J196" s="7">
        <f t="shared" si="64"/>
        <v>0.84587555714285712</v>
      </c>
      <c r="K196" s="6">
        <f>SUM(I196*0.2)</f>
        <v>32366133</v>
      </c>
      <c r="L196" s="4">
        <v>21038270</v>
      </c>
      <c r="M196" s="4"/>
    </row>
    <row r="197" spans="2:19" s="15" customFormat="1" ht="18.5" customHeight="1">
      <c r="B197" s="16">
        <v>448</v>
      </c>
      <c r="C197" s="16" t="s">
        <v>20</v>
      </c>
      <c r="D197" s="17" t="s">
        <v>38</v>
      </c>
      <c r="E197" s="21">
        <v>1073942296</v>
      </c>
      <c r="F197" s="8">
        <v>769248956</v>
      </c>
      <c r="G197" s="8">
        <v>141578756.29182997</v>
      </c>
      <c r="H197" s="5">
        <f>SUM(F197+G197)</f>
        <v>910827712.29182994</v>
      </c>
      <c r="I197" s="5">
        <f>SUM(E197-H197)</f>
        <v>163114583.70817006</v>
      </c>
      <c r="J197" s="7">
        <f t="shared" si="64"/>
        <v>0.84811606329715683</v>
      </c>
      <c r="K197" s="6">
        <f>SUM(I197*0.2)</f>
        <v>32622916.741634011</v>
      </c>
      <c r="L197" s="19">
        <v>29013153.59</v>
      </c>
      <c r="M197" s="19"/>
    </row>
    <row r="198" spans="2:19" s="15" customFormat="1" ht="18.5" customHeight="1">
      <c r="B198" s="16">
        <v>448</v>
      </c>
      <c r="C198" s="13" t="s">
        <v>21</v>
      </c>
      <c r="D198" s="17" t="s">
        <v>38</v>
      </c>
      <c r="E198" s="5">
        <v>1037148121</v>
      </c>
      <c r="F198" s="5">
        <v>675575879.99899995</v>
      </c>
      <c r="G198" s="5">
        <v>173234152.24078798</v>
      </c>
      <c r="H198" s="5">
        <f>SUM(F198+G198)</f>
        <v>848810032.23978794</v>
      </c>
      <c r="I198" s="5">
        <f>SUM(E198-H198)</f>
        <v>188338088.76021206</v>
      </c>
      <c r="J198" s="7">
        <f t="shared" si="64"/>
        <v>0.81840772311420684</v>
      </c>
      <c r="K198" s="6">
        <f>SUM(I198*0.2)</f>
        <v>37667617.752042413</v>
      </c>
      <c r="L198" s="19">
        <v>35142470.350000001</v>
      </c>
      <c r="M198" s="19"/>
    </row>
    <row r="199" spans="2:19" s="24" customFormat="1" ht="18.5" customHeight="1">
      <c r="B199" s="27"/>
      <c r="C199" s="27"/>
      <c r="D199" s="28" t="s">
        <v>39</v>
      </c>
      <c r="E199" s="23">
        <f>SUM(E189:E197)/5</f>
        <v>788509853.22222221</v>
      </c>
      <c r="F199" s="23">
        <f>SUM(F189:F197)/5</f>
        <v>411922220.5333333</v>
      </c>
      <c r="G199" s="23">
        <f>SUM(G189:G197)/5</f>
        <v>299076989.03614378</v>
      </c>
      <c r="H199" s="23">
        <f>SUM(H189:H197)/5</f>
        <v>710999209.56947708</v>
      </c>
      <c r="I199" s="23">
        <f>SUM(I189:I197)/5</f>
        <v>77510643.652745128</v>
      </c>
      <c r="J199" s="29">
        <f t="shared" si="64"/>
        <v>0.90169984137040249</v>
      </c>
      <c r="K199" s="23">
        <f>SUM(K189:K197)/5</f>
        <v>15502128.730549026</v>
      </c>
      <c r="L199" s="23">
        <f>SUM(L189:L197)/5</f>
        <v>21559385.640000001</v>
      </c>
      <c r="M199" s="20"/>
    </row>
    <row r="200" spans="2:19" s="24" customFormat="1" ht="18.5" customHeight="1">
      <c r="B200" s="27"/>
      <c r="C200" s="27"/>
      <c r="D200" s="28"/>
      <c r="E200" s="23"/>
      <c r="F200" s="23"/>
      <c r="G200" s="23"/>
      <c r="H200" s="23"/>
      <c r="I200" s="23"/>
      <c r="J200" s="29"/>
      <c r="K200" s="23"/>
      <c r="L200" s="20"/>
      <c r="M200" s="20"/>
    </row>
    <row r="201" spans="2:19" s="25" customFormat="1" ht="45.95" customHeight="1">
      <c r="B201" s="31" t="s">
        <v>1</v>
      </c>
      <c r="C201" s="31" t="s">
        <v>2</v>
      </c>
      <c r="D201" s="38" t="s">
        <v>3</v>
      </c>
      <c r="E201" s="37" t="s">
        <v>4</v>
      </c>
      <c r="F201" s="32" t="s">
        <v>5</v>
      </c>
      <c r="G201" s="32" t="s">
        <v>6</v>
      </c>
      <c r="H201" s="33" t="s">
        <v>7</v>
      </c>
      <c r="I201" s="33" t="s">
        <v>8</v>
      </c>
      <c r="J201" s="34" t="s">
        <v>9</v>
      </c>
      <c r="K201" s="33" t="s">
        <v>10</v>
      </c>
      <c r="L201" s="35" t="s">
        <v>11</v>
      </c>
      <c r="M201" s="36"/>
      <c r="N201" s="39"/>
      <c r="O201" s="40"/>
      <c r="P201" s="41"/>
      <c r="Q201" s="40"/>
      <c r="R201" s="42"/>
      <c r="S201" s="43"/>
    </row>
    <row r="202" spans="2:19" ht="18.5" customHeight="1">
      <c r="B202" s="13">
        <v>452</v>
      </c>
      <c r="C202" s="13" t="s">
        <v>12</v>
      </c>
      <c r="D202" s="14" t="s">
        <v>40</v>
      </c>
      <c r="E202" s="6">
        <v>10912100</v>
      </c>
      <c r="F202" s="5">
        <v>5998200</v>
      </c>
      <c r="G202" s="5">
        <v>0</v>
      </c>
      <c r="H202" s="5">
        <f t="shared" ref="H202:H210" si="65">SUM(F202+G202)</f>
        <v>5998200</v>
      </c>
      <c r="I202" s="5">
        <f t="shared" ref="I202:I210" si="66">SUM(E202-H202)</f>
        <v>4913900</v>
      </c>
      <c r="J202" s="7">
        <f t="shared" ref="J202:J210" si="67">SUM(H202/E202)</f>
        <v>0.54968337900129216</v>
      </c>
      <c r="K202" s="6">
        <f t="shared" ref="K202:K210" si="68">SUM(I202*0.2)</f>
        <v>982780</v>
      </c>
      <c r="L202" s="19">
        <v>26392.65</v>
      </c>
    </row>
    <row r="203" spans="2:19" ht="18.5" customHeight="1">
      <c r="B203" s="13">
        <v>452</v>
      </c>
      <c r="C203" s="13" t="s">
        <v>14</v>
      </c>
      <c r="D203" s="14" t="s">
        <v>40</v>
      </c>
      <c r="E203" s="6">
        <v>6741500</v>
      </c>
      <c r="F203" s="5">
        <v>6496200</v>
      </c>
      <c r="G203" s="5">
        <v>0</v>
      </c>
      <c r="H203" s="5">
        <f t="shared" si="65"/>
        <v>6496200</v>
      </c>
      <c r="I203" s="5">
        <f t="shared" si="66"/>
        <v>245300</v>
      </c>
      <c r="J203" s="7">
        <f t="shared" si="67"/>
        <v>0.96361343914559072</v>
      </c>
      <c r="K203" s="6">
        <f t="shared" si="68"/>
        <v>49060</v>
      </c>
      <c r="L203" s="19">
        <v>30918.149999999998</v>
      </c>
    </row>
    <row r="204" spans="2:19" ht="18.5" customHeight="1">
      <c r="B204" s="13">
        <v>452</v>
      </c>
      <c r="C204" s="13" t="s">
        <v>15</v>
      </c>
      <c r="D204" s="14" t="s">
        <v>40</v>
      </c>
      <c r="E204" s="6">
        <v>6741500</v>
      </c>
      <c r="F204" s="5">
        <v>6545600</v>
      </c>
      <c r="G204" s="5">
        <v>0</v>
      </c>
      <c r="H204" s="5">
        <f t="shared" si="65"/>
        <v>6545600</v>
      </c>
      <c r="I204" s="5">
        <f t="shared" si="66"/>
        <v>195900</v>
      </c>
      <c r="J204" s="7">
        <f t="shared" si="67"/>
        <v>0.97094118519617301</v>
      </c>
      <c r="K204" s="6">
        <f t="shared" si="68"/>
        <v>39180</v>
      </c>
      <c r="L204" s="19">
        <v>5978.54</v>
      </c>
    </row>
    <row r="205" spans="2:19" ht="18.5" customHeight="1">
      <c r="B205" s="13">
        <v>452</v>
      </c>
      <c r="C205" s="13" t="s">
        <v>16</v>
      </c>
      <c r="D205" s="14" t="s">
        <v>40</v>
      </c>
      <c r="E205" s="6">
        <v>12616239</v>
      </c>
      <c r="F205" s="5">
        <v>5985720</v>
      </c>
      <c r="G205" s="5">
        <v>6628480</v>
      </c>
      <c r="H205" s="5">
        <f t="shared" si="65"/>
        <v>12614200</v>
      </c>
      <c r="I205" s="5">
        <f t="shared" si="66"/>
        <v>2039</v>
      </c>
      <c r="J205" s="7">
        <f t="shared" si="67"/>
        <v>0.99983838289683635</v>
      </c>
      <c r="K205" s="6">
        <f t="shared" si="68"/>
        <v>407.8</v>
      </c>
      <c r="L205" s="19">
        <v>5205.71</v>
      </c>
    </row>
    <row r="206" spans="2:19" ht="18.5" customHeight="1">
      <c r="B206" s="13">
        <v>452</v>
      </c>
      <c r="C206" s="13" t="s">
        <v>17</v>
      </c>
      <c r="D206" s="14" t="s">
        <v>40</v>
      </c>
      <c r="E206" s="6">
        <v>6903800</v>
      </c>
      <c r="F206" s="5">
        <v>6581700</v>
      </c>
      <c r="G206" s="5">
        <v>24900</v>
      </c>
      <c r="H206" s="5">
        <f t="shared" si="65"/>
        <v>6606600</v>
      </c>
      <c r="I206" s="5">
        <f t="shared" si="66"/>
        <v>297200</v>
      </c>
      <c r="J206" s="7">
        <f t="shared" si="67"/>
        <v>0.95695124424230138</v>
      </c>
      <c r="K206" s="6">
        <f t="shared" si="68"/>
        <v>59440</v>
      </c>
      <c r="L206" s="19">
        <v>64158</v>
      </c>
    </row>
    <row r="207" spans="2:19" ht="18.5" customHeight="1">
      <c r="B207" s="13">
        <v>452</v>
      </c>
      <c r="C207" s="13" t="s">
        <v>18</v>
      </c>
      <c r="D207" s="14" t="s">
        <v>40</v>
      </c>
      <c r="E207" s="6">
        <v>5667800</v>
      </c>
      <c r="F207" s="5">
        <v>5429300</v>
      </c>
      <c r="G207" s="5">
        <v>0</v>
      </c>
      <c r="H207" s="5">
        <f t="shared" si="65"/>
        <v>5429300</v>
      </c>
      <c r="I207" s="5">
        <f t="shared" si="66"/>
        <v>238500</v>
      </c>
      <c r="J207" s="7">
        <f t="shared" si="67"/>
        <v>0.95792018066974838</v>
      </c>
      <c r="K207" s="6">
        <f t="shared" si="68"/>
        <v>47700</v>
      </c>
      <c r="L207" s="19">
        <v>66692</v>
      </c>
    </row>
    <row r="208" spans="2:19" ht="18.5" customHeight="1">
      <c r="B208" s="13">
        <v>452</v>
      </c>
      <c r="C208" s="13" t="s">
        <v>19</v>
      </c>
      <c r="D208" s="14" t="s">
        <v>40</v>
      </c>
      <c r="E208" s="8">
        <v>10532950</v>
      </c>
      <c r="F208" s="8">
        <v>9849300</v>
      </c>
      <c r="G208" s="8">
        <v>519450</v>
      </c>
      <c r="H208" s="5">
        <f t="shared" si="65"/>
        <v>10368750</v>
      </c>
      <c r="I208" s="5">
        <f t="shared" si="66"/>
        <v>164200</v>
      </c>
      <c r="J208" s="7">
        <f t="shared" si="67"/>
        <v>0.98441082507749489</v>
      </c>
      <c r="K208" s="6">
        <f t="shared" si="68"/>
        <v>32840</v>
      </c>
      <c r="L208" s="4">
        <v>47849</v>
      </c>
      <c r="M208" s="4"/>
    </row>
    <row r="209" spans="2:19" ht="18.5" customHeight="1">
      <c r="B209" s="13">
        <v>452</v>
      </c>
      <c r="C209" s="13" t="s">
        <v>20</v>
      </c>
      <c r="D209" s="14" t="s">
        <v>40</v>
      </c>
      <c r="E209" s="8">
        <v>11036770</v>
      </c>
      <c r="F209" s="8">
        <v>10514500</v>
      </c>
      <c r="G209" s="8">
        <v>463700</v>
      </c>
      <c r="H209" s="5">
        <f t="shared" si="65"/>
        <v>10978200</v>
      </c>
      <c r="I209" s="5">
        <f t="shared" si="66"/>
        <v>58570</v>
      </c>
      <c r="J209" s="7">
        <f t="shared" si="67"/>
        <v>0.99469319375143272</v>
      </c>
      <c r="K209" s="6">
        <f t="shared" si="68"/>
        <v>11714</v>
      </c>
      <c r="L209" s="19">
        <v>79996.89</v>
      </c>
    </row>
    <row r="210" spans="2:19" ht="18.5" customHeight="1">
      <c r="B210" s="13">
        <v>452</v>
      </c>
      <c r="C210" s="13" t="s">
        <v>21</v>
      </c>
      <c r="D210" s="14" t="s">
        <v>40</v>
      </c>
      <c r="E210" s="5">
        <v>11572380</v>
      </c>
      <c r="F210" s="5">
        <v>11203300</v>
      </c>
      <c r="G210" s="5">
        <v>323280</v>
      </c>
      <c r="H210" s="5">
        <f t="shared" si="65"/>
        <v>11526580</v>
      </c>
      <c r="I210" s="5">
        <f t="shared" si="66"/>
        <v>45800</v>
      </c>
      <c r="J210" s="7">
        <f t="shared" si="67"/>
        <v>0.99604230071947175</v>
      </c>
      <c r="K210" s="6">
        <f t="shared" si="68"/>
        <v>9160</v>
      </c>
      <c r="L210" s="19">
        <v>15149.99</v>
      </c>
    </row>
    <row r="211" spans="2:19" s="24" customFormat="1" ht="18.5" customHeight="1">
      <c r="B211" s="27"/>
      <c r="C211" s="27"/>
      <c r="D211" s="28" t="s">
        <v>22</v>
      </c>
      <c r="E211" s="23">
        <f>SUM(E202:E210)/9</f>
        <v>9191671</v>
      </c>
      <c r="F211" s="23">
        <f>SUM(F202:F210)/9</f>
        <v>7622646.666666667</v>
      </c>
      <c r="G211" s="23">
        <f>SUM(G202:G210)/9</f>
        <v>884423.33333333337</v>
      </c>
      <c r="H211" s="23">
        <f>SUM(H202:H210)/9</f>
        <v>8507070</v>
      </c>
      <c r="I211" s="23">
        <f>SUM(I202:I210)/9</f>
        <v>684601</v>
      </c>
      <c r="J211" s="29">
        <f>SUM(H211/E211)</f>
        <v>0.92551941861278542</v>
      </c>
      <c r="K211" s="23">
        <f>SUM(K202:K210)/9</f>
        <v>136920.20000000001</v>
      </c>
      <c r="L211" s="20">
        <f>SUM(L202:L210)/9</f>
        <v>38037.881111111114</v>
      </c>
      <c r="M211" s="20"/>
    </row>
    <row r="212" spans="2:19" s="24" customFormat="1" ht="18.5" customHeight="1">
      <c r="B212" s="27"/>
      <c r="C212" s="27"/>
      <c r="D212" s="28"/>
      <c r="E212" s="23"/>
      <c r="F212" s="23"/>
      <c r="G212" s="23"/>
      <c r="H212" s="23"/>
      <c r="I212" s="23"/>
      <c r="J212" s="29"/>
      <c r="K212" s="23"/>
      <c r="L212" s="20"/>
      <c r="M212" s="20"/>
    </row>
    <row r="213" spans="2:19" s="25" customFormat="1" ht="45.95" customHeight="1">
      <c r="B213" s="31" t="s">
        <v>1</v>
      </c>
      <c r="C213" s="31" t="s">
        <v>2</v>
      </c>
      <c r="D213" s="38" t="s">
        <v>3</v>
      </c>
      <c r="E213" s="37" t="s">
        <v>4</v>
      </c>
      <c r="F213" s="32" t="s">
        <v>5</v>
      </c>
      <c r="G213" s="32" t="s">
        <v>6</v>
      </c>
      <c r="H213" s="33" t="s">
        <v>7</v>
      </c>
      <c r="I213" s="33" t="s">
        <v>8</v>
      </c>
      <c r="J213" s="34" t="s">
        <v>9</v>
      </c>
      <c r="K213" s="33" t="s">
        <v>10</v>
      </c>
      <c r="L213" s="35" t="s">
        <v>11</v>
      </c>
      <c r="M213" s="36"/>
      <c r="N213" s="39"/>
      <c r="O213" s="40"/>
      <c r="P213" s="41"/>
      <c r="Q213" s="40"/>
      <c r="R213" s="42"/>
      <c r="S213" s="43"/>
    </row>
    <row r="214" spans="2:19" ht="18.5" customHeight="1">
      <c r="B214" s="13">
        <v>458</v>
      </c>
      <c r="C214" s="13" t="s">
        <v>12</v>
      </c>
      <c r="D214" s="14" t="s">
        <v>41</v>
      </c>
      <c r="E214" s="6">
        <v>1042044300</v>
      </c>
      <c r="F214" s="5">
        <v>840295100</v>
      </c>
      <c r="G214" s="5">
        <v>44649756</v>
      </c>
      <c r="H214" s="5">
        <f t="shared" ref="H214:H222" si="69">SUM(F214+G214)</f>
        <v>884944856</v>
      </c>
      <c r="I214" s="5">
        <f t="shared" ref="I214:I222" si="70">SUM(E214-H214)</f>
        <v>157099444</v>
      </c>
      <c r="J214" s="7">
        <f t="shared" ref="J214:J222" si="71">SUM(H214/E214)</f>
        <v>0.84923918877537163</v>
      </c>
      <c r="K214" s="6">
        <f t="shared" ref="K214:K222" si="72">SUM(I214*0.2)</f>
        <v>31419888.800000001</v>
      </c>
      <c r="L214" s="19">
        <v>14723906.059999999</v>
      </c>
    </row>
    <row r="215" spans="2:19" ht="18.5" customHeight="1">
      <c r="B215" s="13">
        <v>458</v>
      </c>
      <c r="C215" s="13" t="s">
        <v>14</v>
      </c>
      <c r="D215" s="14" t="s">
        <v>41</v>
      </c>
      <c r="E215" s="6">
        <v>1229925800</v>
      </c>
      <c r="F215" s="5">
        <v>1023386780</v>
      </c>
      <c r="G215" s="5">
        <v>39353320</v>
      </c>
      <c r="H215" s="5">
        <f t="shared" si="69"/>
        <v>1062740100</v>
      </c>
      <c r="I215" s="5">
        <f t="shared" si="70"/>
        <v>167185700</v>
      </c>
      <c r="J215" s="7">
        <f t="shared" si="71"/>
        <v>0.86406846656928404</v>
      </c>
      <c r="K215" s="6">
        <f t="shared" si="72"/>
        <v>33437140</v>
      </c>
      <c r="L215" s="19">
        <v>18289053.079999998</v>
      </c>
    </row>
    <row r="216" spans="2:19" ht="18.5" customHeight="1">
      <c r="B216" s="13">
        <v>458</v>
      </c>
      <c r="C216" s="13" t="s">
        <v>15</v>
      </c>
      <c r="D216" s="14" t="s">
        <v>41</v>
      </c>
      <c r="E216" s="6">
        <v>1227017700</v>
      </c>
      <c r="F216" s="5">
        <v>24746800</v>
      </c>
      <c r="G216" s="5">
        <v>1048825438</v>
      </c>
      <c r="H216" s="5">
        <f t="shared" si="69"/>
        <v>1073572238</v>
      </c>
      <c r="I216" s="5">
        <f t="shared" si="70"/>
        <v>153445462</v>
      </c>
      <c r="J216" s="7">
        <f t="shared" si="71"/>
        <v>0.87494437773799028</v>
      </c>
      <c r="K216" s="6">
        <f t="shared" si="72"/>
        <v>30689092.400000002</v>
      </c>
      <c r="L216" s="19">
        <v>17083076.149999999</v>
      </c>
    </row>
    <row r="217" spans="2:19" ht="18.5" customHeight="1">
      <c r="B217" s="13">
        <v>458</v>
      </c>
      <c r="C217" s="13" t="s">
        <v>16</v>
      </c>
      <c r="D217" s="14" t="s">
        <v>41</v>
      </c>
      <c r="E217" s="6">
        <v>1229684700</v>
      </c>
      <c r="F217" s="5">
        <v>1028902000</v>
      </c>
      <c r="G217" s="5">
        <v>46335060</v>
      </c>
      <c r="H217" s="5">
        <f t="shared" si="69"/>
        <v>1075237060</v>
      </c>
      <c r="I217" s="5">
        <f t="shared" si="70"/>
        <v>154447640</v>
      </c>
      <c r="J217" s="7">
        <f t="shared" si="71"/>
        <v>0.87440061667840541</v>
      </c>
      <c r="K217" s="6">
        <f t="shared" si="72"/>
        <v>30889528</v>
      </c>
      <c r="L217" s="19">
        <v>11637865.84</v>
      </c>
    </row>
    <row r="218" spans="2:19" ht="18.5" customHeight="1">
      <c r="B218" s="13">
        <v>458</v>
      </c>
      <c r="C218" s="13" t="s">
        <v>17</v>
      </c>
      <c r="D218" s="14" t="s">
        <v>41</v>
      </c>
      <c r="E218" s="6">
        <v>1168592100</v>
      </c>
      <c r="F218" s="5">
        <v>1024852500</v>
      </c>
      <c r="G218" s="5">
        <v>143229400</v>
      </c>
      <c r="H218" s="5">
        <f t="shared" si="69"/>
        <v>1168081900</v>
      </c>
      <c r="I218" s="5">
        <f t="shared" si="70"/>
        <v>510200</v>
      </c>
      <c r="J218" s="7">
        <f t="shared" si="71"/>
        <v>0.9995634062561265</v>
      </c>
      <c r="K218" s="6">
        <f t="shared" si="72"/>
        <v>102040</v>
      </c>
      <c r="L218" s="19">
        <v>13791770</v>
      </c>
    </row>
    <row r="219" spans="2:19" ht="18.5" customHeight="1">
      <c r="B219" s="13">
        <v>458</v>
      </c>
      <c r="C219" s="13" t="s">
        <v>18</v>
      </c>
      <c r="D219" s="14" t="s">
        <v>41</v>
      </c>
      <c r="E219" s="6">
        <v>1185896566</v>
      </c>
      <c r="F219" s="5">
        <v>1006690100</v>
      </c>
      <c r="G219" s="5">
        <v>178786266</v>
      </c>
      <c r="H219" s="5">
        <f t="shared" si="69"/>
        <v>1185476366</v>
      </c>
      <c r="I219" s="5">
        <f t="shared" si="70"/>
        <v>420200</v>
      </c>
      <c r="J219" s="7">
        <f t="shared" si="71"/>
        <v>0.99964566892927487</v>
      </c>
      <c r="K219" s="6">
        <f t="shared" si="72"/>
        <v>84040</v>
      </c>
      <c r="L219" s="19">
        <v>11935856</v>
      </c>
    </row>
    <row r="220" spans="2:19" ht="18.5" customHeight="1">
      <c r="B220" s="13">
        <v>458</v>
      </c>
      <c r="C220" s="13" t="s">
        <v>19</v>
      </c>
      <c r="D220" s="14" t="s">
        <v>41</v>
      </c>
      <c r="E220" s="8">
        <v>1253115700</v>
      </c>
      <c r="F220" s="8">
        <v>1014523800</v>
      </c>
      <c r="G220" s="8">
        <v>191753911</v>
      </c>
      <c r="H220" s="5">
        <f t="shared" si="69"/>
        <v>1206277711</v>
      </c>
      <c r="I220" s="5">
        <f t="shared" si="70"/>
        <v>46837989</v>
      </c>
      <c r="J220" s="7">
        <f t="shared" si="71"/>
        <v>0.96262277377898942</v>
      </c>
      <c r="K220" s="6">
        <f t="shared" si="72"/>
        <v>9367597.8000000007</v>
      </c>
      <c r="L220" s="4">
        <v>15369517</v>
      </c>
      <c r="M220" s="4"/>
    </row>
    <row r="221" spans="2:19" ht="18.5" customHeight="1">
      <c r="B221" s="13">
        <v>458</v>
      </c>
      <c r="C221" s="13" t="s">
        <v>20</v>
      </c>
      <c r="D221" s="14" t="s">
        <v>41</v>
      </c>
      <c r="E221" s="8">
        <v>1253265100</v>
      </c>
      <c r="F221" s="8">
        <v>1014547700</v>
      </c>
      <c r="G221" s="8">
        <v>194198761</v>
      </c>
      <c r="H221" s="5">
        <f t="shared" si="69"/>
        <v>1208746461</v>
      </c>
      <c r="I221" s="5">
        <f t="shared" si="70"/>
        <v>44518639</v>
      </c>
      <c r="J221" s="7">
        <f t="shared" si="71"/>
        <v>0.96447787543114383</v>
      </c>
      <c r="K221" s="6">
        <f t="shared" si="72"/>
        <v>8903727.8000000007</v>
      </c>
      <c r="L221" s="19">
        <v>14978330.439999999</v>
      </c>
    </row>
    <row r="222" spans="2:19" ht="18.5" customHeight="1">
      <c r="B222" s="13">
        <v>458</v>
      </c>
      <c r="C222" s="13" t="s">
        <v>21</v>
      </c>
      <c r="D222" s="14" t="s">
        <v>41</v>
      </c>
      <c r="E222" s="5">
        <v>2261962900</v>
      </c>
      <c r="F222" s="5">
        <v>2015263300</v>
      </c>
      <c r="G222" s="5">
        <v>219547325.16999999</v>
      </c>
      <c r="H222" s="5">
        <f t="shared" si="69"/>
        <v>2234810625.1700001</v>
      </c>
      <c r="I222" s="5">
        <f t="shared" si="70"/>
        <v>27152274.829999924</v>
      </c>
      <c r="J222" s="7">
        <f t="shared" si="71"/>
        <v>0.98799614492792964</v>
      </c>
      <c r="K222" s="6">
        <f t="shared" si="72"/>
        <v>5430454.9659999851</v>
      </c>
      <c r="L222" s="19">
        <v>9983354.8699999992</v>
      </c>
    </row>
    <row r="223" spans="2:19" s="24" customFormat="1" ht="18.5" customHeight="1">
      <c r="B223" s="27"/>
      <c r="C223" s="27"/>
      <c r="D223" s="28" t="s">
        <v>22</v>
      </c>
      <c r="E223" s="23">
        <f>SUM(E214:E222)/9</f>
        <v>1316833874</v>
      </c>
      <c r="F223" s="23">
        <f>SUM(F214:F222)/9</f>
        <v>999245342.22222221</v>
      </c>
      <c r="G223" s="23">
        <f>SUM(G214:G222)/9</f>
        <v>234075470.79666668</v>
      </c>
      <c r="H223" s="23">
        <f>SUM(H214:H222)/9</f>
        <v>1233320813.018889</v>
      </c>
      <c r="I223" s="23">
        <f>SUM(I214:I222)/9</f>
        <v>83513060.981111109</v>
      </c>
      <c r="J223" s="29">
        <f>SUM(H223/E223)</f>
        <v>0.93658041258656821</v>
      </c>
      <c r="K223" s="23">
        <f>SUM(K214:K222)/9</f>
        <v>16702612.196222223</v>
      </c>
      <c r="L223" s="20">
        <f>SUM(L214:L222)/9</f>
        <v>14199192.16</v>
      </c>
      <c r="M223" s="20"/>
    </row>
    <row r="224" spans="2:19" s="24" customFormat="1" ht="18.5" customHeight="1">
      <c r="B224" s="27"/>
      <c r="C224" s="27"/>
      <c r="D224" s="28"/>
      <c r="E224" s="23"/>
      <c r="F224" s="23"/>
      <c r="G224" s="23"/>
      <c r="H224" s="23"/>
      <c r="I224" s="23"/>
      <c r="J224" s="29"/>
      <c r="K224" s="23"/>
      <c r="L224" s="20"/>
      <c r="M224" s="20"/>
    </row>
    <row r="225" spans="2:19" s="25" customFormat="1" ht="45.95" customHeight="1">
      <c r="B225" s="31" t="s">
        <v>1</v>
      </c>
      <c r="C225" s="31" t="s">
        <v>2</v>
      </c>
      <c r="D225" s="38" t="s">
        <v>3</v>
      </c>
      <c r="E225" s="37" t="s">
        <v>4</v>
      </c>
      <c r="F225" s="32" t="s">
        <v>5</v>
      </c>
      <c r="G225" s="32" t="s">
        <v>6</v>
      </c>
      <c r="H225" s="33" t="s">
        <v>7</v>
      </c>
      <c r="I225" s="33" t="s">
        <v>8</v>
      </c>
      <c r="J225" s="34" t="s">
        <v>9</v>
      </c>
      <c r="K225" s="33" t="s">
        <v>10</v>
      </c>
      <c r="L225" s="35" t="s">
        <v>11</v>
      </c>
      <c r="M225" s="36"/>
      <c r="N225" s="39"/>
      <c r="O225" s="40"/>
      <c r="P225" s="41"/>
      <c r="Q225" s="40"/>
      <c r="R225" s="42"/>
      <c r="S225" s="43"/>
    </row>
    <row r="226" spans="2:19" ht="18.5" customHeight="1">
      <c r="B226" s="13">
        <v>466</v>
      </c>
      <c r="C226" s="13" t="s">
        <v>12</v>
      </c>
      <c r="D226" s="14" t="s">
        <v>42</v>
      </c>
      <c r="E226" s="6">
        <v>55549100</v>
      </c>
      <c r="F226" s="5">
        <v>40544800</v>
      </c>
      <c r="G226" s="5">
        <v>13870200</v>
      </c>
      <c r="H226" s="5">
        <f t="shared" ref="H226:H234" si="73">SUM(F226+G226)</f>
        <v>54415000</v>
      </c>
      <c r="I226" s="5">
        <f t="shared" ref="I226:I234" si="74">SUM(E226-H226)</f>
        <v>1134100</v>
      </c>
      <c r="J226" s="7">
        <f t="shared" ref="J226:J234" si="75">SUM(H226/E226)</f>
        <v>0.9795838276407719</v>
      </c>
      <c r="K226" s="6">
        <f t="shared" ref="K226:K234" si="76">SUM(I226*0.2)</f>
        <v>226820</v>
      </c>
      <c r="L226" s="19">
        <v>2081079.3199999998</v>
      </c>
    </row>
    <row r="227" spans="2:19" ht="18.5" customHeight="1">
      <c r="B227" s="13">
        <v>466</v>
      </c>
      <c r="C227" s="13" t="s">
        <v>14</v>
      </c>
      <c r="D227" s="14" t="s">
        <v>42</v>
      </c>
      <c r="E227" s="6">
        <v>55290100</v>
      </c>
      <c r="F227" s="5">
        <v>40960100</v>
      </c>
      <c r="G227" s="5">
        <v>12216000</v>
      </c>
      <c r="H227" s="5">
        <f t="shared" si="73"/>
        <v>53176100</v>
      </c>
      <c r="I227" s="5">
        <f t="shared" si="74"/>
        <v>2114000</v>
      </c>
      <c r="J227" s="7">
        <f t="shared" si="75"/>
        <v>0.96176530698985896</v>
      </c>
      <c r="K227" s="6">
        <f t="shared" si="76"/>
        <v>422800</v>
      </c>
      <c r="L227" s="19">
        <v>1976676.4300000002</v>
      </c>
    </row>
    <row r="228" spans="2:19" ht="18.5" customHeight="1">
      <c r="B228" s="13">
        <v>466</v>
      </c>
      <c r="C228" s="13" t="s">
        <v>15</v>
      </c>
      <c r="D228" s="14" t="s">
        <v>42</v>
      </c>
      <c r="E228" s="6">
        <v>56445300</v>
      </c>
      <c r="F228" s="5">
        <v>42867000</v>
      </c>
      <c r="G228" s="5">
        <v>12254800</v>
      </c>
      <c r="H228" s="5">
        <f t="shared" si="73"/>
        <v>55121800</v>
      </c>
      <c r="I228" s="5">
        <f t="shared" si="74"/>
        <v>1323500</v>
      </c>
      <c r="J228" s="7">
        <f t="shared" si="75"/>
        <v>0.97655252075903576</v>
      </c>
      <c r="K228" s="6">
        <f t="shared" si="76"/>
        <v>264700</v>
      </c>
      <c r="L228" s="19">
        <v>1862339.77</v>
      </c>
    </row>
    <row r="229" spans="2:19" ht="18.5" customHeight="1">
      <c r="B229" s="13">
        <v>466</v>
      </c>
      <c r="C229" s="13" t="s">
        <v>16</v>
      </c>
      <c r="D229" s="14" t="s">
        <v>42</v>
      </c>
      <c r="E229" s="6">
        <v>55530600</v>
      </c>
      <c r="F229" s="5">
        <v>33218800</v>
      </c>
      <c r="G229" s="5">
        <v>18730158</v>
      </c>
      <c r="H229" s="5">
        <f t="shared" si="73"/>
        <v>51948958</v>
      </c>
      <c r="I229" s="5">
        <f t="shared" si="74"/>
        <v>3581642</v>
      </c>
      <c r="J229" s="7">
        <f t="shared" si="75"/>
        <v>0.93550147126089034</v>
      </c>
      <c r="K229" s="6">
        <f t="shared" si="76"/>
        <v>716328.4</v>
      </c>
      <c r="L229" s="19">
        <v>1445944.3499999999</v>
      </c>
    </row>
    <row r="230" spans="2:19" ht="18.5" customHeight="1">
      <c r="B230" s="13">
        <v>466</v>
      </c>
      <c r="C230" s="13" t="s">
        <v>17</v>
      </c>
      <c r="D230" s="14" t="s">
        <v>42</v>
      </c>
      <c r="E230" s="6">
        <v>47854213</v>
      </c>
      <c r="F230" s="5">
        <v>28740649</v>
      </c>
      <c r="G230" s="5">
        <v>19113564</v>
      </c>
      <c r="H230" s="5">
        <f t="shared" si="73"/>
        <v>47854213</v>
      </c>
      <c r="I230" s="5">
        <f t="shared" si="74"/>
        <v>0</v>
      </c>
      <c r="J230" s="7">
        <f t="shared" si="75"/>
        <v>1</v>
      </c>
      <c r="K230" s="6">
        <f t="shared" si="76"/>
        <v>0</v>
      </c>
      <c r="L230" s="19">
        <v>1627687</v>
      </c>
    </row>
    <row r="231" spans="2:19" ht="18.5" customHeight="1">
      <c r="B231" s="13">
        <v>466</v>
      </c>
      <c r="C231" s="13" t="s">
        <v>18</v>
      </c>
      <c r="D231" s="14" t="s">
        <v>42</v>
      </c>
      <c r="E231" s="6">
        <v>51788316</v>
      </c>
      <c r="F231" s="5">
        <v>32397845</v>
      </c>
      <c r="G231" s="5">
        <v>17471699</v>
      </c>
      <c r="H231" s="5">
        <f t="shared" si="73"/>
        <v>49869544</v>
      </c>
      <c r="I231" s="5">
        <f t="shared" si="74"/>
        <v>1918772</v>
      </c>
      <c r="J231" s="7">
        <f t="shared" si="75"/>
        <v>0.96294971244092975</v>
      </c>
      <c r="K231" s="6">
        <f t="shared" si="76"/>
        <v>383754.4</v>
      </c>
      <c r="L231" s="19">
        <v>1332547</v>
      </c>
    </row>
    <row r="232" spans="2:19" ht="18.5" customHeight="1">
      <c r="B232" s="13">
        <v>466</v>
      </c>
      <c r="C232" s="13" t="s">
        <v>19</v>
      </c>
      <c r="D232" s="14" t="s">
        <v>42</v>
      </c>
      <c r="E232" s="8">
        <v>52478100</v>
      </c>
      <c r="F232" s="8">
        <v>32494400</v>
      </c>
      <c r="G232" s="8">
        <v>16733800</v>
      </c>
      <c r="H232" s="5">
        <f t="shared" si="73"/>
        <v>49228200</v>
      </c>
      <c r="I232" s="5">
        <f t="shared" si="74"/>
        <v>3249900</v>
      </c>
      <c r="J232" s="7">
        <f t="shared" si="75"/>
        <v>0.93807130974635133</v>
      </c>
      <c r="K232" s="6">
        <f t="shared" si="76"/>
        <v>649980</v>
      </c>
      <c r="L232" s="4">
        <v>1923853</v>
      </c>
      <c r="M232" s="4"/>
    </row>
    <row r="233" spans="2:19" ht="18.5" customHeight="1">
      <c r="B233" s="13">
        <v>466</v>
      </c>
      <c r="C233" s="13" t="s">
        <v>20</v>
      </c>
      <c r="D233" s="14" t="s">
        <v>42</v>
      </c>
      <c r="E233" s="8">
        <v>72982500</v>
      </c>
      <c r="F233" s="8">
        <v>34794300</v>
      </c>
      <c r="G233" s="8">
        <v>0</v>
      </c>
      <c r="H233" s="5">
        <f t="shared" si="73"/>
        <v>34794300</v>
      </c>
      <c r="I233" s="5">
        <f t="shared" si="74"/>
        <v>38188200</v>
      </c>
      <c r="J233" s="7">
        <f t="shared" si="75"/>
        <v>0.47674853560785119</v>
      </c>
      <c r="K233" s="6">
        <f t="shared" si="76"/>
        <v>7637640</v>
      </c>
      <c r="L233" s="19">
        <v>1964431.9500000002</v>
      </c>
    </row>
    <row r="234" spans="2:19" ht="18.5" customHeight="1">
      <c r="B234" s="13">
        <v>466</v>
      </c>
      <c r="C234" s="13" t="s">
        <v>21</v>
      </c>
      <c r="D234" s="14" t="s">
        <v>42</v>
      </c>
      <c r="E234" s="5">
        <v>72982500</v>
      </c>
      <c r="F234" s="5">
        <v>39826100</v>
      </c>
      <c r="G234" s="5">
        <v>0</v>
      </c>
      <c r="H234" s="5">
        <f t="shared" si="73"/>
        <v>39826100</v>
      </c>
      <c r="I234" s="5">
        <f t="shared" si="74"/>
        <v>33156400</v>
      </c>
      <c r="J234" s="7">
        <f t="shared" si="75"/>
        <v>0.54569383071284217</v>
      </c>
      <c r="K234" s="6">
        <f t="shared" si="76"/>
        <v>6631280</v>
      </c>
      <c r="L234" s="19">
        <v>1569494.4300000002</v>
      </c>
    </row>
    <row r="235" spans="2:19" s="24" customFormat="1" ht="18.5" customHeight="1">
      <c r="B235" s="27"/>
      <c r="C235" s="27"/>
      <c r="D235" s="28" t="s">
        <v>22</v>
      </c>
      <c r="E235" s="23">
        <f>SUM(E226:E234)/9</f>
        <v>57877858.777777776</v>
      </c>
      <c r="F235" s="23">
        <f>SUM(F226:F234)/9</f>
        <v>36204888.222222224</v>
      </c>
      <c r="G235" s="23">
        <f>SUM(G226:G234)/9</f>
        <v>12265580.111111112</v>
      </c>
      <c r="H235" s="23">
        <f>SUM(H226:H234)/9</f>
        <v>48470468.333333336</v>
      </c>
      <c r="I235" s="23">
        <f>SUM(I226:I234)/9</f>
        <v>9407390.444444444</v>
      </c>
      <c r="J235" s="29">
        <f>SUM(H235/E235)</f>
        <v>0.83746132557245867</v>
      </c>
      <c r="K235" s="23">
        <f>SUM(K226:K234)/9</f>
        <v>1881478.0888888889</v>
      </c>
      <c r="L235" s="20">
        <f>SUM(L226:L234)/9</f>
        <v>1753783.6944444445</v>
      </c>
      <c r="M235" s="20"/>
    </row>
    <row r="236" spans="2:19" s="24" customFormat="1" ht="18.5" customHeight="1">
      <c r="B236" s="27"/>
      <c r="C236" s="27"/>
      <c r="D236" s="28"/>
      <c r="E236" s="23"/>
      <c r="F236" s="23"/>
      <c r="G236" s="23"/>
      <c r="H236" s="23"/>
      <c r="I236" s="23"/>
      <c r="J236" s="29"/>
      <c r="K236" s="23"/>
      <c r="L236" s="20"/>
      <c r="M236" s="20"/>
    </row>
    <row r="237" spans="2:19" s="25" customFormat="1" ht="45.95" customHeight="1">
      <c r="B237" s="31" t="s">
        <v>1</v>
      </c>
      <c r="C237" s="31" t="s">
        <v>2</v>
      </c>
      <c r="D237" s="38" t="s">
        <v>3</v>
      </c>
      <c r="E237" s="37" t="s">
        <v>4</v>
      </c>
      <c r="F237" s="32" t="s">
        <v>5</v>
      </c>
      <c r="G237" s="32" t="s">
        <v>6</v>
      </c>
      <c r="H237" s="33" t="s">
        <v>7</v>
      </c>
      <c r="I237" s="33" t="s">
        <v>8</v>
      </c>
      <c r="J237" s="34" t="s">
        <v>9</v>
      </c>
      <c r="K237" s="33" t="s">
        <v>10</v>
      </c>
      <c r="L237" s="35" t="s">
        <v>11</v>
      </c>
      <c r="M237" s="36"/>
      <c r="N237" s="39"/>
      <c r="O237" s="40"/>
      <c r="P237" s="41"/>
      <c r="Q237" s="40"/>
      <c r="R237" s="42"/>
      <c r="S237" s="43"/>
    </row>
    <row r="238" spans="2:19" ht="18.5" customHeight="1">
      <c r="B238" s="13">
        <v>478</v>
      </c>
      <c r="C238" s="13" t="s">
        <v>12</v>
      </c>
      <c r="D238" s="14" t="s">
        <v>43</v>
      </c>
      <c r="E238" s="6">
        <v>17747524900</v>
      </c>
      <c r="F238" s="5">
        <v>1340775658</v>
      </c>
      <c r="G238" s="5">
        <v>16296423571</v>
      </c>
      <c r="H238" s="5">
        <f t="shared" ref="H238:H246" si="77">SUM(F238+G238)</f>
        <v>17637199229</v>
      </c>
      <c r="I238" s="5">
        <f t="shared" ref="I238:I246" si="78">SUM(E238-H238)</f>
        <v>110325671</v>
      </c>
      <c r="J238" s="7">
        <f t="shared" ref="J238:J246" si="79">SUM(H238/E238)</f>
        <v>0.99378360241094799</v>
      </c>
      <c r="K238" s="6">
        <f t="shared" ref="K238:K246" si="80">SUM(I238*0.2)</f>
        <v>22065134.200000003</v>
      </c>
      <c r="L238" s="19">
        <v>28648959.469999999</v>
      </c>
    </row>
    <row r="239" spans="2:19" ht="18.5" customHeight="1">
      <c r="B239" s="13">
        <v>478</v>
      </c>
      <c r="C239" s="13" t="s">
        <v>14</v>
      </c>
      <c r="D239" s="14" t="s">
        <v>43</v>
      </c>
      <c r="E239" s="6">
        <v>19557496900</v>
      </c>
      <c r="F239" s="5">
        <v>2054225695</v>
      </c>
      <c r="G239" s="5">
        <v>17380728812</v>
      </c>
      <c r="H239" s="5">
        <f t="shared" si="77"/>
        <v>19434954507</v>
      </c>
      <c r="I239" s="5">
        <f t="shared" si="78"/>
        <v>122542393</v>
      </c>
      <c r="J239" s="7">
        <f t="shared" si="79"/>
        <v>0.99373424965236734</v>
      </c>
      <c r="K239" s="6">
        <f t="shared" si="80"/>
        <v>24508478.600000001</v>
      </c>
      <c r="L239" s="19">
        <v>51343342.899999999</v>
      </c>
    </row>
    <row r="240" spans="2:19" ht="18.5" customHeight="1">
      <c r="B240" s="13">
        <v>478</v>
      </c>
      <c r="C240" s="13" t="s">
        <v>15</v>
      </c>
      <c r="D240" s="14" t="s">
        <v>43</v>
      </c>
      <c r="E240" s="6">
        <v>20535601800.129997</v>
      </c>
      <c r="F240" s="5">
        <v>11696354464.129999</v>
      </c>
      <c r="G240" s="5">
        <v>8437681409</v>
      </c>
      <c r="H240" s="5">
        <f t="shared" si="77"/>
        <v>20134035873.129997</v>
      </c>
      <c r="I240" s="5">
        <f t="shared" si="78"/>
        <v>401565927</v>
      </c>
      <c r="J240" s="7">
        <f t="shared" si="79"/>
        <v>0.98044537818232047</v>
      </c>
      <c r="K240" s="6">
        <f t="shared" si="80"/>
        <v>80313185.400000006</v>
      </c>
      <c r="L240" s="19">
        <v>111349195.48000002</v>
      </c>
    </row>
    <row r="241" spans="2:19" ht="18.5" customHeight="1">
      <c r="B241" s="13">
        <v>478</v>
      </c>
      <c r="C241" s="13" t="s">
        <v>16</v>
      </c>
      <c r="D241" s="14" t="s">
        <v>43</v>
      </c>
      <c r="E241" s="6">
        <v>19196572399.608921</v>
      </c>
      <c r="F241" s="5">
        <v>12129473988.608921</v>
      </c>
      <c r="G241" s="5">
        <v>6674910833</v>
      </c>
      <c r="H241" s="5">
        <f t="shared" si="77"/>
        <v>18804384821.608921</v>
      </c>
      <c r="I241" s="5">
        <f t="shared" si="78"/>
        <v>392187578</v>
      </c>
      <c r="J241" s="7">
        <f t="shared" si="79"/>
        <v>0.97956991644987679</v>
      </c>
      <c r="K241" s="6">
        <f t="shared" si="80"/>
        <v>78437515.600000009</v>
      </c>
      <c r="L241" s="19">
        <v>144507344.36999997</v>
      </c>
    </row>
    <row r="242" spans="2:19" ht="18.5" customHeight="1">
      <c r="B242" s="13">
        <v>478</v>
      </c>
      <c r="C242" s="13" t="s">
        <v>17</v>
      </c>
      <c r="D242" s="14" t="s">
        <v>43</v>
      </c>
      <c r="E242" s="6">
        <v>21576399500</v>
      </c>
      <c r="F242" s="5">
        <v>12724794017</v>
      </c>
      <c r="G242" s="5">
        <v>8390142994</v>
      </c>
      <c r="H242" s="5">
        <f t="shared" si="77"/>
        <v>21114937011</v>
      </c>
      <c r="I242" s="5">
        <f t="shared" si="78"/>
        <v>461462489</v>
      </c>
      <c r="J242" s="7">
        <f t="shared" si="79"/>
        <v>0.97861262770000157</v>
      </c>
      <c r="K242" s="6">
        <f t="shared" si="80"/>
        <v>92292497.800000012</v>
      </c>
      <c r="L242" s="19">
        <v>117739590</v>
      </c>
    </row>
    <row r="243" spans="2:19" ht="18.5" customHeight="1">
      <c r="B243" s="13">
        <v>478</v>
      </c>
      <c r="C243" s="13" t="s">
        <v>18</v>
      </c>
      <c r="D243" s="14" t="s">
        <v>43</v>
      </c>
      <c r="E243" s="6">
        <v>22099861600</v>
      </c>
      <c r="F243" s="5">
        <v>12639656260</v>
      </c>
      <c r="G243" s="5">
        <v>9199834389</v>
      </c>
      <c r="H243" s="5">
        <f t="shared" si="77"/>
        <v>21839490649</v>
      </c>
      <c r="I243" s="5">
        <f t="shared" si="78"/>
        <v>260370951</v>
      </c>
      <c r="J243" s="7">
        <f t="shared" si="79"/>
        <v>0.9882184352231419</v>
      </c>
      <c r="K243" s="6">
        <f t="shared" si="80"/>
        <v>52074190.200000003</v>
      </c>
      <c r="L243" s="19">
        <v>92468584</v>
      </c>
    </row>
    <row r="244" spans="2:19" ht="18.5" customHeight="1">
      <c r="B244" s="13">
        <v>478</v>
      </c>
      <c r="C244" s="13" t="s">
        <v>19</v>
      </c>
      <c r="D244" s="14" t="s">
        <v>43</v>
      </c>
      <c r="E244" s="11">
        <v>24195020100</v>
      </c>
      <c r="F244" s="8">
        <v>18898319900</v>
      </c>
      <c r="G244" s="8">
        <v>5079833964</v>
      </c>
      <c r="H244" s="5">
        <f t="shared" si="77"/>
        <v>23978153864</v>
      </c>
      <c r="I244" s="5">
        <f t="shared" si="78"/>
        <v>216866236</v>
      </c>
      <c r="J244" s="7">
        <f t="shared" si="79"/>
        <v>0.9910367408208931</v>
      </c>
      <c r="K244" s="6">
        <f t="shared" si="80"/>
        <v>43373247.200000003</v>
      </c>
      <c r="L244" s="4">
        <v>60343936</v>
      </c>
      <c r="M244" s="4"/>
    </row>
    <row r="245" spans="2:19" ht="18.5" customHeight="1">
      <c r="B245" s="13">
        <v>478</v>
      </c>
      <c r="C245" s="13" t="s">
        <v>20</v>
      </c>
      <c r="D245" s="14" t="s">
        <v>43</v>
      </c>
      <c r="E245" s="11">
        <v>26201046500</v>
      </c>
      <c r="F245" s="8">
        <v>4439060591</v>
      </c>
      <c r="G245" s="8">
        <v>21118409817</v>
      </c>
      <c r="H245" s="5">
        <f t="shared" si="77"/>
        <v>25557470408</v>
      </c>
      <c r="I245" s="5">
        <f t="shared" si="78"/>
        <v>643576092</v>
      </c>
      <c r="J245" s="7">
        <f t="shared" si="79"/>
        <v>0.97543700813629719</v>
      </c>
      <c r="K245" s="6">
        <f t="shared" si="80"/>
        <v>128715218.40000001</v>
      </c>
      <c r="L245" s="19">
        <v>68843930</v>
      </c>
    </row>
    <row r="246" spans="2:19" ht="18.5" customHeight="1">
      <c r="B246" s="13">
        <v>478</v>
      </c>
      <c r="C246" s="13" t="s">
        <v>21</v>
      </c>
      <c r="D246" s="14" t="s">
        <v>43</v>
      </c>
      <c r="E246" s="5">
        <v>30684411100</v>
      </c>
      <c r="F246" s="5">
        <v>30027106299</v>
      </c>
      <c r="G246" s="5">
        <v>0</v>
      </c>
      <c r="H246" s="5">
        <f t="shared" si="77"/>
        <v>30027106299</v>
      </c>
      <c r="I246" s="5">
        <f t="shared" si="78"/>
        <v>657304801</v>
      </c>
      <c r="J246" s="7">
        <f t="shared" si="79"/>
        <v>0.97857854273761835</v>
      </c>
      <c r="K246" s="6">
        <f t="shared" si="80"/>
        <v>131460960.2</v>
      </c>
      <c r="L246" s="19">
        <v>145407589.52999997</v>
      </c>
    </row>
    <row r="247" spans="2:19" s="24" customFormat="1" ht="18.5" customHeight="1">
      <c r="B247" s="27"/>
      <c r="C247" s="27"/>
      <c r="D247" s="28" t="s">
        <v>22</v>
      </c>
      <c r="E247" s="23">
        <f>SUM(E238:E246)/9</f>
        <v>22421548311.082104</v>
      </c>
      <c r="F247" s="23">
        <f>SUM(F238:F246)/9</f>
        <v>11772196319.193214</v>
      </c>
      <c r="G247" s="23">
        <f>SUM(G238:G246)/9</f>
        <v>10286440643.222221</v>
      </c>
      <c r="H247" s="23">
        <f>SUM(H238:H246)/9</f>
        <v>22058636962.415436</v>
      </c>
      <c r="I247" s="23">
        <f>SUM(I238:I246)/9</f>
        <v>362911348.66666669</v>
      </c>
      <c r="J247" s="29">
        <f>SUM(H247/E247)</f>
        <v>0.98381417092024392</v>
      </c>
      <c r="K247" s="23">
        <f>SUM(K238:K246)/9</f>
        <v>72582269.733333334</v>
      </c>
      <c r="L247" s="20">
        <f>SUM(L238:L246)/9</f>
        <v>91183607.972222224</v>
      </c>
      <c r="M247" s="20"/>
    </row>
    <row r="248" spans="2:19" s="24" customFormat="1" ht="18.5" customHeight="1">
      <c r="B248" s="27"/>
      <c r="C248" s="27"/>
      <c r="D248" s="28"/>
      <c r="E248" s="23"/>
      <c r="F248" s="23"/>
      <c r="G248" s="23"/>
      <c r="H248" s="23"/>
      <c r="I248" s="23"/>
      <c r="J248" s="29"/>
      <c r="K248" s="23"/>
      <c r="L248" s="20"/>
      <c r="M248" s="20"/>
    </row>
    <row r="249" spans="2:19" s="25" customFormat="1" ht="45.95" customHeight="1">
      <c r="B249" s="31" t="s">
        <v>1</v>
      </c>
      <c r="C249" s="31" t="s">
        <v>2</v>
      </c>
      <c r="D249" s="38" t="s">
        <v>3</v>
      </c>
      <c r="E249" s="37" t="s">
        <v>4</v>
      </c>
      <c r="F249" s="32" t="s">
        <v>5</v>
      </c>
      <c r="G249" s="32" t="s">
        <v>6</v>
      </c>
      <c r="H249" s="33" t="s">
        <v>7</v>
      </c>
      <c r="I249" s="33" t="s">
        <v>8</v>
      </c>
      <c r="J249" s="34" t="s">
        <v>9</v>
      </c>
      <c r="K249" s="33" t="s">
        <v>10</v>
      </c>
      <c r="L249" s="35" t="s">
        <v>11</v>
      </c>
      <c r="M249" s="36"/>
      <c r="N249" s="39"/>
      <c r="O249" s="40"/>
      <c r="P249" s="41"/>
      <c r="Q249" s="40"/>
      <c r="R249" s="42"/>
      <c r="S249" s="43"/>
    </row>
    <row r="250" spans="2:19" ht="18.5" customHeight="1">
      <c r="B250" s="13">
        <v>482</v>
      </c>
      <c r="C250" s="13" t="s">
        <v>12</v>
      </c>
      <c r="D250" s="14" t="s">
        <v>44</v>
      </c>
      <c r="E250" s="6">
        <v>322745000</v>
      </c>
      <c r="F250" s="5">
        <v>281490700</v>
      </c>
      <c r="G250" s="5">
        <v>31292350</v>
      </c>
      <c r="H250" s="5">
        <f t="shared" ref="H250:H258" si="81">SUM(F250+G250)</f>
        <v>312783050</v>
      </c>
      <c r="I250" s="5">
        <f t="shared" ref="I250:I258" si="82">SUM(E250-H250)</f>
        <v>9961950</v>
      </c>
      <c r="J250" s="7">
        <f t="shared" ref="J250:J258" si="83">SUM(H250/E250)</f>
        <v>0.96913368138933209</v>
      </c>
      <c r="K250" s="6">
        <f t="shared" ref="K250:K258" si="84">SUM(I250*0.2)</f>
        <v>1992390</v>
      </c>
      <c r="L250" s="19">
        <v>1768880.79</v>
      </c>
    </row>
    <row r="251" spans="2:19" ht="18.5" customHeight="1">
      <c r="B251" s="13">
        <v>482</v>
      </c>
      <c r="C251" s="13" t="s">
        <v>14</v>
      </c>
      <c r="D251" s="14" t="s">
        <v>44</v>
      </c>
      <c r="E251" s="6">
        <v>327100000</v>
      </c>
      <c r="F251" s="5">
        <v>280014000</v>
      </c>
      <c r="G251" s="5">
        <v>40888700</v>
      </c>
      <c r="H251" s="5">
        <f t="shared" si="81"/>
        <v>320902700</v>
      </c>
      <c r="I251" s="5">
        <f t="shared" si="82"/>
        <v>6197300</v>
      </c>
      <c r="J251" s="7">
        <f t="shared" si="83"/>
        <v>0.98105380617548155</v>
      </c>
      <c r="K251" s="6">
        <f t="shared" si="84"/>
        <v>1239460</v>
      </c>
      <c r="L251" s="19">
        <v>1614392.3</v>
      </c>
    </row>
    <row r="252" spans="2:19" ht="18.5" customHeight="1">
      <c r="B252" s="13">
        <v>482</v>
      </c>
      <c r="C252" s="13" t="s">
        <v>15</v>
      </c>
      <c r="D252" s="14" t="s">
        <v>44</v>
      </c>
      <c r="E252" s="6">
        <v>386994800</v>
      </c>
      <c r="F252" s="5">
        <v>337769900</v>
      </c>
      <c r="G252" s="5">
        <v>42742700</v>
      </c>
      <c r="H252" s="5">
        <f t="shared" si="81"/>
        <v>380512600</v>
      </c>
      <c r="I252" s="5">
        <f t="shared" si="82"/>
        <v>6482200</v>
      </c>
      <c r="J252" s="7">
        <f t="shared" si="83"/>
        <v>0.98324990413307878</v>
      </c>
      <c r="K252" s="6">
        <f t="shared" si="84"/>
        <v>1296440</v>
      </c>
      <c r="L252" s="19">
        <v>1561697.6</v>
      </c>
    </row>
    <row r="253" spans="2:19" ht="18.5" customHeight="1">
      <c r="B253" s="13">
        <v>482</v>
      </c>
      <c r="C253" s="13" t="s">
        <v>16</v>
      </c>
      <c r="D253" s="14" t="s">
        <v>44</v>
      </c>
      <c r="E253" s="6">
        <v>382935500</v>
      </c>
      <c r="F253" s="5">
        <v>322876900</v>
      </c>
      <c r="G253" s="5">
        <v>53818500</v>
      </c>
      <c r="H253" s="5">
        <f t="shared" si="81"/>
        <v>376695400</v>
      </c>
      <c r="I253" s="5">
        <f t="shared" si="82"/>
        <v>6240100</v>
      </c>
      <c r="J253" s="7">
        <f t="shared" si="83"/>
        <v>0.98370456643481741</v>
      </c>
      <c r="K253" s="6">
        <f t="shared" si="84"/>
        <v>1248020</v>
      </c>
      <c r="L253" s="19">
        <v>9175841.4300000016</v>
      </c>
    </row>
    <row r="254" spans="2:19" ht="18.5" customHeight="1">
      <c r="B254" s="13">
        <v>482</v>
      </c>
      <c r="C254" s="13" t="s">
        <v>17</v>
      </c>
      <c r="D254" s="14" t="s">
        <v>44</v>
      </c>
      <c r="E254" s="6">
        <v>386954800</v>
      </c>
      <c r="F254" s="5">
        <v>329811000</v>
      </c>
      <c r="G254" s="5">
        <v>52003810</v>
      </c>
      <c r="H254" s="5">
        <f t="shared" si="81"/>
        <v>381814810</v>
      </c>
      <c r="I254" s="5">
        <f t="shared" si="82"/>
        <v>5139990</v>
      </c>
      <c r="J254" s="7">
        <f t="shared" si="83"/>
        <v>0.98671682067259536</v>
      </c>
      <c r="K254" s="6">
        <f t="shared" si="84"/>
        <v>1027998</v>
      </c>
      <c r="L254" s="19">
        <v>10947097</v>
      </c>
    </row>
    <row r="255" spans="2:19" ht="18.5" customHeight="1">
      <c r="B255" s="13">
        <v>482</v>
      </c>
      <c r="C255" s="13" t="s">
        <v>18</v>
      </c>
      <c r="D255" s="14" t="s">
        <v>44</v>
      </c>
      <c r="E255" s="6">
        <v>388965500</v>
      </c>
      <c r="F255" s="5">
        <v>311790300</v>
      </c>
      <c r="G255" s="5">
        <v>54601650</v>
      </c>
      <c r="H255" s="5">
        <f t="shared" si="81"/>
        <v>366391950</v>
      </c>
      <c r="I255" s="5">
        <f t="shared" si="82"/>
        <v>22573550</v>
      </c>
      <c r="J255" s="7">
        <f t="shared" si="83"/>
        <v>0.94196516143462594</v>
      </c>
      <c r="K255" s="6">
        <f t="shared" si="84"/>
        <v>4514710</v>
      </c>
      <c r="L255" s="19">
        <v>14336383</v>
      </c>
    </row>
    <row r="256" spans="2:19" ht="18.5" customHeight="1">
      <c r="B256" s="13">
        <v>482</v>
      </c>
      <c r="C256" s="13" t="s">
        <v>19</v>
      </c>
      <c r="D256" s="14" t="s">
        <v>44</v>
      </c>
      <c r="E256" s="11">
        <v>352531915</v>
      </c>
      <c r="F256" s="8">
        <v>271674125</v>
      </c>
      <c r="G256" s="8">
        <v>57068475</v>
      </c>
      <c r="H256" s="5">
        <f t="shared" si="81"/>
        <v>328742600</v>
      </c>
      <c r="I256" s="5">
        <f t="shared" si="82"/>
        <v>23789315</v>
      </c>
      <c r="J256" s="7">
        <f t="shared" si="83"/>
        <v>0.93251869125097508</v>
      </c>
      <c r="K256" s="6">
        <f t="shared" si="84"/>
        <v>4757863</v>
      </c>
      <c r="L256" s="4">
        <v>13573056</v>
      </c>
      <c r="M256" s="4"/>
    </row>
    <row r="257" spans="2:19" ht="18.5" customHeight="1">
      <c r="B257" s="13">
        <v>482</v>
      </c>
      <c r="C257" s="13" t="s">
        <v>20</v>
      </c>
      <c r="D257" s="14" t="s">
        <v>44</v>
      </c>
      <c r="E257" s="11">
        <v>421948300</v>
      </c>
      <c r="F257" s="8">
        <v>313260300</v>
      </c>
      <c r="G257" s="8">
        <v>64699000</v>
      </c>
      <c r="H257" s="5">
        <f t="shared" si="81"/>
        <v>377959300</v>
      </c>
      <c r="I257" s="5">
        <f t="shared" si="82"/>
        <v>43989000</v>
      </c>
      <c r="J257" s="7">
        <f t="shared" si="83"/>
        <v>0.89574789138858957</v>
      </c>
      <c r="K257" s="6">
        <f t="shared" si="84"/>
        <v>8797800</v>
      </c>
      <c r="L257" s="19">
        <v>12815923.109999999</v>
      </c>
    </row>
    <row r="258" spans="2:19" ht="18.5" customHeight="1">
      <c r="B258" s="13">
        <v>482</v>
      </c>
      <c r="C258" s="13" t="s">
        <v>21</v>
      </c>
      <c r="D258" s="14" t="s">
        <v>44</v>
      </c>
      <c r="E258" s="5">
        <v>1069698680</v>
      </c>
      <c r="F258" s="5">
        <v>371982680</v>
      </c>
      <c r="G258" s="5">
        <v>654145000</v>
      </c>
      <c r="H258" s="5">
        <f t="shared" si="81"/>
        <v>1026127680</v>
      </c>
      <c r="I258" s="5">
        <f t="shared" si="82"/>
        <v>43571000</v>
      </c>
      <c r="J258" s="7">
        <f t="shared" si="83"/>
        <v>0.95926796880781418</v>
      </c>
      <c r="K258" s="6">
        <f t="shared" si="84"/>
        <v>8714200</v>
      </c>
      <c r="L258" s="19">
        <v>38600428.619999997</v>
      </c>
    </row>
    <row r="259" spans="2:19" s="24" customFormat="1" ht="18.5" customHeight="1">
      <c r="B259" s="27"/>
      <c r="C259" s="27"/>
      <c r="D259" s="28" t="s">
        <v>22</v>
      </c>
      <c r="E259" s="23">
        <f>SUM(E250:E258)/9</f>
        <v>448874943.8888889</v>
      </c>
      <c r="F259" s="23">
        <f>SUM(F250:F258)/9</f>
        <v>313407767.22222221</v>
      </c>
      <c r="G259" s="23">
        <f>SUM(G250:G258)/9</f>
        <v>116806687.22222222</v>
      </c>
      <c r="H259" s="23">
        <f>SUM(H250:H258)/9</f>
        <v>430214454.44444442</v>
      </c>
      <c r="I259" s="23">
        <f>SUM(I250:I258)/9</f>
        <v>18660489.444444444</v>
      </c>
      <c r="J259" s="29">
        <f>SUM(H259/E259)</f>
        <v>0.95842831127356587</v>
      </c>
      <c r="K259" s="23">
        <f>SUM(K250:K258)/9</f>
        <v>3732097.888888889</v>
      </c>
      <c r="L259" s="20">
        <f>SUM(L250:L258)/9</f>
        <v>11599299.983333332</v>
      </c>
      <c r="M259" s="20"/>
    </row>
    <row r="260" spans="2:19" s="24" customFormat="1" ht="18.5" customHeight="1">
      <c r="B260" s="27"/>
      <c r="C260" s="27"/>
      <c r="D260" s="28"/>
      <c r="E260" s="23"/>
      <c r="F260" s="23"/>
      <c r="G260" s="23"/>
      <c r="H260" s="23"/>
      <c r="I260" s="23"/>
      <c r="J260" s="29"/>
      <c r="K260" s="23"/>
      <c r="L260" s="20"/>
      <c r="M260" s="20"/>
    </row>
    <row r="261" spans="2:19" s="25" customFormat="1" ht="45.95" customHeight="1">
      <c r="B261" s="31" t="s">
        <v>1</v>
      </c>
      <c r="C261" s="31" t="s">
        <v>2</v>
      </c>
      <c r="D261" s="38" t="s">
        <v>3</v>
      </c>
      <c r="E261" s="37" t="s">
        <v>4</v>
      </c>
      <c r="F261" s="32" t="s">
        <v>5</v>
      </c>
      <c r="G261" s="32" t="s">
        <v>6</v>
      </c>
      <c r="H261" s="33" t="s">
        <v>7</v>
      </c>
      <c r="I261" s="33" t="s">
        <v>8</v>
      </c>
      <c r="J261" s="34" t="s">
        <v>9</v>
      </c>
      <c r="K261" s="33" t="s">
        <v>10</v>
      </c>
      <c r="L261" s="35" t="s">
        <v>11</v>
      </c>
      <c r="M261" s="36"/>
      <c r="N261" s="39"/>
      <c r="O261" s="40"/>
      <c r="P261" s="41"/>
      <c r="Q261" s="40"/>
      <c r="R261" s="42"/>
      <c r="S261" s="43"/>
    </row>
    <row r="262" spans="2:19" ht="18.5" customHeight="1">
      <c r="B262" s="13">
        <v>492</v>
      </c>
      <c r="C262" s="13" t="s">
        <v>12</v>
      </c>
      <c r="D262" s="14" t="s">
        <v>45</v>
      </c>
      <c r="E262" s="6">
        <v>630135391</v>
      </c>
      <c r="F262" s="5">
        <v>520642459</v>
      </c>
      <c r="G262" s="5">
        <v>104737672</v>
      </c>
      <c r="H262" s="5">
        <f t="shared" ref="H262:H270" si="85">SUM(F262+G262)</f>
        <v>625380131</v>
      </c>
      <c r="I262" s="5">
        <f t="shared" ref="I262:I270" si="86">SUM(E262-H262)</f>
        <v>4755260</v>
      </c>
      <c r="J262" s="7">
        <f t="shared" ref="J262:J270" si="87">SUM(H262/E262)</f>
        <v>0.99245359002538547</v>
      </c>
      <c r="K262" s="6">
        <f t="shared" ref="K262:K270" si="88">SUM(I262*0.2)</f>
        <v>951052</v>
      </c>
      <c r="L262" s="19">
        <v>3052459.41</v>
      </c>
    </row>
    <row r="263" spans="2:19" ht="18.5" customHeight="1">
      <c r="B263" s="13">
        <v>492</v>
      </c>
      <c r="C263" s="13" t="s">
        <v>14</v>
      </c>
      <c r="D263" s="14" t="s">
        <v>45</v>
      </c>
      <c r="E263" s="6">
        <v>793850717</v>
      </c>
      <c r="F263" s="5">
        <v>570025800</v>
      </c>
      <c r="G263" s="5">
        <v>211309862</v>
      </c>
      <c r="H263" s="5">
        <f t="shared" si="85"/>
        <v>781335662</v>
      </c>
      <c r="I263" s="5">
        <f t="shared" si="86"/>
        <v>12515055</v>
      </c>
      <c r="J263" s="7">
        <f t="shared" si="87"/>
        <v>0.98423500195692337</v>
      </c>
      <c r="K263" s="6">
        <f t="shared" si="88"/>
        <v>2503011</v>
      </c>
      <c r="L263" s="19">
        <v>2764416.46</v>
      </c>
    </row>
    <row r="264" spans="2:19" ht="18.5" customHeight="1">
      <c r="B264" s="13">
        <v>492</v>
      </c>
      <c r="C264" s="13" t="s">
        <v>15</v>
      </c>
      <c r="D264" s="14" t="s">
        <v>45</v>
      </c>
      <c r="E264" s="6">
        <v>774176800</v>
      </c>
      <c r="F264" s="5">
        <v>563824900</v>
      </c>
      <c r="G264" s="5">
        <v>201355885</v>
      </c>
      <c r="H264" s="5">
        <f t="shared" si="85"/>
        <v>765180785</v>
      </c>
      <c r="I264" s="5">
        <f t="shared" si="86"/>
        <v>8996015</v>
      </c>
      <c r="J264" s="7">
        <f t="shared" si="87"/>
        <v>0.98837989591008157</v>
      </c>
      <c r="K264" s="6">
        <f t="shared" si="88"/>
        <v>1799203</v>
      </c>
      <c r="L264" s="19">
        <v>2058923.2800000003</v>
      </c>
    </row>
    <row r="265" spans="2:19" ht="18.5" customHeight="1">
      <c r="B265" s="13">
        <v>492</v>
      </c>
      <c r="C265" s="13" t="s">
        <v>16</v>
      </c>
      <c r="D265" s="14" t="s">
        <v>45</v>
      </c>
      <c r="E265" s="6">
        <v>635133808</v>
      </c>
      <c r="F265" s="5">
        <v>586320858</v>
      </c>
      <c r="G265" s="5">
        <v>47011182</v>
      </c>
      <c r="H265" s="5">
        <f t="shared" si="85"/>
        <v>633332040</v>
      </c>
      <c r="I265" s="5">
        <f t="shared" si="86"/>
        <v>1801768</v>
      </c>
      <c r="J265" s="7">
        <f t="shared" si="87"/>
        <v>0.9971631678595827</v>
      </c>
      <c r="K265" s="6">
        <f t="shared" si="88"/>
        <v>360353.60000000003</v>
      </c>
      <c r="L265" s="19">
        <v>1303939.7799999998</v>
      </c>
    </row>
    <row r="266" spans="2:19" ht="18.5" customHeight="1">
      <c r="B266" s="13">
        <v>492</v>
      </c>
      <c r="C266" s="13" t="s">
        <v>17</v>
      </c>
      <c r="D266" s="14" t="s">
        <v>45</v>
      </c>
      <c r="E266" s="6">
        <v>949008800</v>
      </c>
      <c r="F266" s="5">
        <v>682237100</v>
      </c>
      <c r="G266" s="5">
        <v>254483740</v>
      </c>
      <c r="H266" s="5">
        <f t="shared" si="85"/>
        <v>936720840</v>
      </c>
      <c r="I266" s="5">
        <f t="shared" si="86"/>
        <v>12287960</v>
      </c>
      <c r="J266" s="7">
        <f t="shared" si="87"/>
        <v>0.98705179551548938</v>
      </c>
      <c r="K266" s="6">
        <f t="shared" si="88"/>
        <v>2457592</v>
      </c>
      <c r="L266" s="19">
        <v>1078179</v>
      </c>
    </row>
    <row r="267" spans="2:19" ht="18.5" customHeight="1">
      <c r="B267" s="13">
        <v>492</v>
      </c>
      <c r="C267" s="13" t="s">
        <v>18</v>
      </c>
      <c r="D267" s="14" t="s">
        <v>45</v>
      </c>
      <c r="E267" s="6">
        <v>331201200</v>
      </c>
      <c r="F267" s="5">
        <v>299221800</v>
      </c>
      <c r="G267" s="5">
        <v>23388400</v>
      </c>
      <c r="H267" s="5">
        <f t="shared" si="85"/>
        <v>322610200</v>
      </c>
      <c r="I267" s="5">
        <f t="shared" si="86"/>
        <v>8591000</v>
      </c>
      <c r="J267" s="7">
        <f t="shared" si="87"/>
        <v>0.97406108431974281</v>
      </c>
      <c r="K267" s="6">
        <f t="shared" si="88"/>
        <v>1718200</v>
      </c>
      <c r="L267" s="19">
        <v>1441696</v>
      </c>
    </row>
    <row r="268" spans="2:19" ht="18.5" customHeight="1">
      <c r="B268" s="13">
        <v>492</v>
      </c>
      <c r="C268" s="13" t="s">
        <v>19</v>
      </c>
      <c r="D268" s="14" t="s">
        <v>45</v>
      </c>
      <c r="E268" s="8">
        <v>916942000</v>
      </c>
      <c r="F268" s="8">
        <v>638470700</v>
      </c>
      <c r="G268" s="8">
        <v>268383256</v>
      </c>
      <c r="H268" s="5">
        <f t="shared" si="85"/>
        <v>906853956</v>
      </c>
      <c r="I268" s="5">
        <f t="shared" si="86"/>
        <v>10088044</v>
      </c>
      <c r="J268" s="7">
        <f t="shared" si="87"/>
        <v>0.98899816564188359</v>
      </c>
      <c r="K268" s="6">
        <f t="shared" si="88"/>
        <v>2017608.8</v>
      </c>
      <c r="L268" s="4">
        <v>1199382</v>
      </c>
      <c r="M268" s="4"/>
    </row>
    <row r="269" spans="2:19" ht="18.5" customHeight="1">
      <c r="B269" s="13">
        <v>492</v>
      </c>
      <c r="C269" s="13" t="s">
        <v>20</v>
      </c>
      <c r="D269" s="14" t="s">
        <v>45</v>
      </c>
      <c r="E269" s="8">
        <v>1257778400</v>
      </c>
      <c r="F269" s="8">
        <v>1249454000</v>
      </c>
      <c r="G269" s="8">
        <v>0</v>
      </c>
      <c r="H269" s="5">
        <f t="shared" si="85"/>
        <v>1249454000</v>
      </c>
      <c r="I269" s="5">
        <f t="shared" si="86"/>
        <v>8324400</v>
      </c>
      <c r="J269" s="7">
        <f t="shared" si="87"/>
        <v>0.99338166405147366</v>
      </c>
      <c r="K269" s="6">
        <f t="shared" si="88"/>
        <v>1664880</v>
      </c>
      <c r="L269" s="19">
        <v>1309143.95</v>
      </c>
    </row>
    <row r="270" spans="2:19" ht="18.5" customHeight="1">
      <c r="B270" s="13">
        <v>492</v>
      </c>
      <c r="C270" s="13" t="s">
        <v>21</v>
      </c>
      <c r="D270" s="14" t="s">
        <v>45</v>
      </c>
      <c r="E270" s="5">
        <v>1780550200</v>
      </c>
      <c r="F270" s="5">
        <v>1243164018</v>
      </c>
      <c r="G270" s="5">
        <v>0</v>
      </c>
      <c r="H270" s="5">
        <f t="shared" si="85"/>
        <v>1243164018</v>
      </c>
      <c r="I270" s="5">
        <f t="shared" si="86"/>
        <v>537386182</v>
      </c>
      <c r="J270" s="7">
        <f t="shared" si="87"/>
        <v>0.69819094008132987</v>
      </c>
      <c r="K270" s="6">
        <f t="shared" si="88"/>
        <v>107477236.40000001</v>
      </c>
      <c r="L270" s="19">
        <v>906060.09</v>
      </c>
    </row>
    <row r="271" spans="2:19" s="24" customFormat="1" ht="18.5" customHeight="1">
      <c r="B271" s="27"/>
      <c r="C271" s="27"/>
      <c r="D271" s="28" t="s">
        <v>22</v>
      </c>
      <c r="E271" s="23">
        <f>SUM(E262:E270)/9</f>
        <v>896530812.88888884</v>
      </c>
      <c r="F271" s="23">
        <f>SUM(F262:F270)/9</f>
        <v>705929070.55555558</v>
      </c>
      <c r="G271" s="23">
        <f>SUM(G262:G270)/9</f>
        <v>123407777.44444445</v>
      </c>
      <c r="H271" s="23">
        <f>SUM(H262:H270)/9</f>
        <v>829336848</v>
      </c>
      <c r="I271" s="23">
        <f>SUM(I262:I270)/9</f>
        <v>67193964.888888896</v>
      </c>
      <c r="J271" s="29">
        <f>SUM(H271/E271)</f>
        <v>0.92505113720255761</v>
      </c>
      <c r="K271" s="23">
        <f>SUM(K262:K270)/9</f>
        <v>13438792.977777779</v>
      </c>
      <c r="L271" s="20">
        <f>SUM(L262:L270)/9</f>
        <v>1679355.5522222221</v>
      </c>
      <c r="M271" s="20"/>
    </row>
    <row r="272" spans="2:19" s="24" customFormat="1" ht="18.5" customHeight="1">
      <c r="B272" s="27"/>
      <c r="C272" s="27"/>
      <c r="D272" s="28"/>
      <c r="E272" s="23"/>
      <c r="F272" s="23"/>
      <c r="G272" s="23"/>
      <c r="H272" s="23"/>
      <c r="I272" s="23"/>
      <c r="J272" s="29"/>
      <c r="K272" s="23"/>
      <c r="L272" s="20"/>
      <c r="M272" s="20"/>
    </row>
    <row r="273" spans="2:19" s="25" customFormat="1" ht="45.95" customHeight="1">
      <c r="B273" s="31" t="s">
        <v>1</v>
      </c>
      <c r="C273" s="31" t="s">
        <v>2</v>
      </c>
      <c r="D273" s="38" t="s">
        <v>3</v>
      </c>
      <c r="E273" s="37" t="s">
        <v>4</v>
      </c>
      <c r="F273" s="32" t="s">
        <v>5</v>
      </c>
      <c r="G273" s="32" t="s">
        <v>6</v>
      </c>
      <c r="H273" s="33" t="s">
        <v>7</v>
      </c>
      <c r="I273" s="33" t="s">
        <v>8</v>
      </c>
      <c r="J273" s="34" t="s">
        <v>9</v>
      </c>
      <c r="K273" s="33" t="s">
        <v>10</v>
      </c>
      <c r="L273" s="35" t="s">
        <v>11</v>
      </c>
      <c r="M273" s="36"/>
      <c r="N273" s="39"/>
      <c r="O273" s="40"/>
      <c r="P273" s="41"/>
      <c r="Q273" s="40"/>
      <c r="R273" s="42"/>
      <c r="S273" s="43"/>
    </row>
    <row r="274" spans="2:19" ht="18.5" customHeight="1">
      <c r="B274" s="13">
        <v>493</v>
      </c>
      <c r="C274" s="13" t="s">
        <v>12</v>
      </c>
      <c r="D274" s="14" t="s">
        <v>46</v>
      </c>
      <c r="E274" s="6">
        <v>425164354</v>
      </c>
      <c r="F274" s="5">
        <v>351047528</v>
      </c>
      <c r="G274" s="5">
        <v>71311994</v>
      </c>
      <c r="H274" s="5">
        <f t="shared" ref="H274:H282" si="89">SUM(F274+G274)</f>
        <v>422359522</v>
      </c>
      <c r="I274" s="5">
        <f t="shared" ref="I274:I282" si="90">SUM(E274-H274)</f>
        <v>2804832</v>
      </c>
      <c r="J274" s="7">
        <f t="shared" ref="J274:J282" si="91">SUM(H274/E274)</f>
        <v>0.99340294647561167</v>
      </c>
      <c r="K274" s="6">
        <f t="shared" ref="K274:K282" si="92">SUM(I274*0.2)</f>
        <v>560966.40000000002</v>
      </c>
      <c r="L274" s="19">
        <v>1106154.5900000001</v>
      </c>
    </row>
    <row r="275" spans="2:19" ht="18.5" customHeight="1">
      <c r="B275" s="13">
        <v>493</v>
      </c>
      <c r="C275" s="13" t="s">
        <v>14</v>
      </c>
      <c r="D275" s="14" t="s">
        <v>46</v>
      </c>
      <c r="E275" s="6">
        <v>384134092.99999994</v>
      </c>
      <c r="F275" s="5">
        <v>313767875</v>
      </c>
      <c r="G275" s="5">
        <v>64322559</v>
      </c>
      <c r="H275" s="5">
        <f t="shared" si="89"/>
        <v>378090434</v>
      </c>
      <c r="I275" s="5">
        <f t="shared" si="90"/>
        <v>6043658.9999999404</v>
      </c>
      <c r="J275" s="7">
        <f t="shared" si="91"/>
        <v>0.98426679872957812</v>
      </c>
      <c r="K275" s="6">
        <f t="shared" si="92"/>
        <v>1208731.7999999882</v>
      </c>
      <c r="L275" s="19">
        <v>1994428.59</v>
      </c>
    </row>
    <row r="276" spans="2:19" ht="18.5" customHeight="1">
      <c r="B276" s="13">
        <v>493</v>
      </c>
      <c r="C276" s="13" t="s">
        <v>15</v>
      </c>
      <c r="D276" s="14" t="s">
        <v>46</v>
      </c>
      <c r="E276" s="6">
        <v>535463293.78339291</v>
      </c>
      <c r="F276" s="5">
        <v>414264948.8350144</v>
      </c>
      <c r="G276" s="5">
        <v>105827979.64755259</v>
      </c>
      <c r="H276" s="5">
        <f t="shared" si="89"/>
        <v>520092928.48256701</v>
      </c>
      <c r="I276" s="5">
        <f t="shared" si="90"/>
        <v>15370365.300825894</v>
      </c>
      <c r="J276" s="7">
        <f t="shared" si="91"/>
        <v>0.97129520271646563</v>
      </c>
      <c r="K276" s="6">
        <f t="shared" si="92"/>
        <v>3074073.060165179</v>
      </c>
      <c r="L276" s="19">
        <v>2082151.2699999998</v>
      </c>
    </row>
    <row r="277" spans="2:19" ht="18.5" customHeight="1">
      <c r="B277" s="13">
        <v>493</v>
      </c>
      <c r="C277" s="13" t="s">
        <v>16</v>
      </c>
      <c r="D277" s="14" t="s">
        <v>46</v>
      </c>
      <c r="E277" s="6">
        <v>371471111</v>
      </c>
      <c r="F277" s="5">
        <v>306048840</v>
      </c>
      <c r="G277" s="5">
        <v>62391559</v>
      </c>
      <c r="H277" s="5">
        <f t="shared" si="89"/>
        <v>368440399</v>
      </c>
      <c r="I277" s="5">
        <f t="shared" si="90"/>
        <v>3030712</v>
      </c>
      <c r="J277" s="7">
        <f t="shared" si="91"/>
        <v>0.99184132517912005</v>
      </c>
      <c r="K277" s="6">
        <f t="shared" si="92"/>
        <v>606142.4</v>
      </c>
      <c r="L277" s="19">
        <v>555978.89</v>
      </c>
    </row>
    <row r="278" spans="2:19" ht="18.5" customHeight="1">
      <c r="B278" s="13">
        <v>493</v>
      </c>
      <c r="C278" s="13" t="s">
        <v>17</v>
      </c>
      <c r="D278" s="14" t="s">
        <v>46</v>
      </c>
      <c r="E278" s="6">
        <v>429105364</v>
      </c>
      <c r="F278" s="5">
        <v>404073343</v>
      </c>
      <c r="G278" s="5">
        <v>22890506</v>
      </c>
      <c r="H278" s="5">
        <f t="shared" si="89"/>
        <v>426963849</v>
      </c>
      <c r="I278" s="5">
        <f t="shared" si="90"/>
        <v>2141515</v>
      </c>
      <c r="J278" s="7">
        <f t="shared" si="91"/>
        <v>0.99500934926555706</v>
      </c>
      <c r="K278" s="6">
        <f t="shared" si="92"/>
        <v>428303</v>
      </c>
      <c r="L278" s="19">
        <v>777871</v>
      </c>
    </row>
    <row r="279" spans="2:19" ht="18.5" customHeight="1">
      <c r="B279" s="13">
        <v>493</v>
      </c>
      <c r="C279" s="13" t="s">
        <v>18</v>
      </c>
      <c r="D279" s="14" t="s">
        <v>46</v>
      </c>
      <c r="E279" s="6">
        <v>614072551</v>
      </c>
      <c r="F279" s="5">
        <v>529545137</v>
      </c>
      <c r="G279" s="5">
        <v>81492997</v>
      </c>
      <c r="H279" s="5">
        <f t="shared" si="89"/>
        <v>611038134</v>
      </c>
      <c r="I279" s="5">
        <f t="shared" si="90"/>
        <v>3034417</v>
      </c>
      <c r="J279" s="7">
        <f t="shared" si="91"/>
        <v>0.99505853665815458</v>
      </c>
      <c r="K279" s="6">
        <f t="shared" si="92"/>
        <v>606883.4</v>
      </c>
      <c r="L279" s="19">
        <v>2244053</v>
      </c>
    </row>
    <row r="280" spans="2:19" ht="18.5" customHeight="1">
      <c r="B280" s="13">
        <v>493</v>
      </c>
      <c r="C280" s="13" t="s">
        <v>19</v>
      </c>
      <c r="D280" s="14" t="s">
        <v>46</v>
      </c>
      <c r="E280" s="8">
        <v>658310200</v>
      </c>
      <c r="F280" s="8">
        <v>542508723</v>
      </c>
      <c r="G280" s="8">
        <v>110014761</v>
      </c>
      <c r="H280" s="5">
        <f t="shared" si="89"/>
        <v>652523484</v>
      </c>
      <c r="I280" s="5">
        <f t="shared" si="90"/>
        <v>5786716</v>
      </c>
      <c r="J280" s="7">
        <f t="shared" si="91"/>
        <v>0.99120974276260643</v>
      </c>
      <c r="K280" s="6">
        <f t="shared" si="92"/>
        <v>1157343.2</v>
      </c>
      <c r="L280" s="4">
        <v>2596518</v>
      </c>
      <c r="M280" s="4"/>
    </row>
    <row r="281" spans="2:19" ht="18.5" customHeight="1">
      <c r="B281" s="13">
        <v>493</v>
      </c>
      <c r="C281" s="13" t="s">
        <v>20</v>
      </c>
      <c r="D281" s="14" t="s">
        <v>46</v>
      </c>
      <c r="E281" s="8">
        <v>614072551</v>
      </c>
      <c r="F281" s="8">
        <v>531832756</v>
      </c>
      <c r="G281" s="8">
        <v>74799106</v>
      </c>
      <c r="H281" s="5">
        <f t="shared" si="89"/>
        <v>606631862</v>
      </c>
      <c r="I281" s="5">
        <f t="shared" si="90"/>
        <v>7440689</v>
      </c>
      <c r="J281" s="7">
        <f t="shared" si="91"/>
        <v>0.98788304576082575</v>
      </c>
      <c r="K281" s="6">
        <f t="shared" si="92"/>
        <v>1488137.8</v>
      </c>
      <c r="L281" s="19">
        <v>3782078.08</v>
      </c>
    </row>
    <row r="282" spans="2:19" ht="18.5" customHeight="1">
      <c r="B282" s="13">
        <v>493</v>
      </c>
      <c r="C282" s="13" t="s">
        <v>21</v>
      </c>
      <c r="D282" s="14" t="s">
        <v>46</v>
      </c>
      <c r="E282" s="5">
        <v>690947799.99999988</v>
      </c>
      <c r="F282" s="5">
        <v>582343921.19296014</v>
      </c>
      <c r="G282" s="5">
        <v>103028574.04730277</v>
      </c>
      <c r="H282" s="5">
        <f t="shared" si="89"/>
        <v>685372495.24026287</v>
      </c>
      <c r="I282" s="5">
        <f t="shared" si="90"/>
        <v>5575304.7597370148</v>
      </c>
      <c r="J282" s="7">
        <f t="shared" si="91"/>
        <v>0.99193093203316229</v>
      </c>
      <c r="K282" s="6">
        <f t="shared" si="92"/>
        <v>1115060.9519474029</v>
      </c>
      <c r="L282" s="19">
        <v>1936122.76</v>
      </c>
    </row>
    <row r="283" spans="2:19" s="24" customFormat="1" ht="18.5" customHeight="1">
      <c r="B283" s="27"/>
      <c r="C283" s="27"/>
      <c r="D283" s="28" t="s">
        <v>22</v>
      </c>
      <c r="E283" s="23">
        <f>SUM(E274:E282)/9</f>
        <v>524749035.30926585</v>
      </c>
      <c r="F283" s="23">
        <f>SUM(F274:F282)/9</f>
        <v>441714785.78088605</v>
      </c>
      <c r="G283" s="23">
        <f>SUM(G274:G282)/9</f>
        <v>77342226.188317254</v>
      </c>
      <c r="H283" s="23">
        <f>SUM(H274:H282)/9</f>
        <v>519057011.96920329</v>
      </c>
      <c r="I283" s="23">
        <f>SUM(I274:I282)/9</f>
        <v>5692023.3400625391</v>
      </c>
      <c r="J283" s="29">
        <f>SUM(H283/E283)</f>
        <v>0.98915286554703641</v>
      </c>
      <c r="K283" s="23">
        <f>SUM(K274:K282)/9</f>
        <v>1138404.668012508</v>
      </c>
      <c r="L283" s="20">
        <f>SUM(L274:L282)/9</f>
        <v>1897261.7977777778</v>
      </c>
      <c r="M283" s="20"/>
    </row>
    <row r="284" spans="2:19" s="24" customFormat="1" ht="18.5" customHeight="1">
      <c r="B284" s="27"/>
      <c r="C284" s="27"/>
      <c r="D284" s="28"/>
      <c r="E284" s="23"/>
      <c r="F284" s="23"/>
      <c r="G284" s="23"/>
      <c r="H284" s="23"/>
      <c r="I284" s="23"/>
      <c r="J284" s="29"/>
      <c r="K284" s="23"/>
      <c r="L284" s="20"/>
      <c r="M284" s="20"/>
    </row>
    <row r="285" spans="2:19" s="25" customFormat="1" ht="45.95" customHeight="1">
      <c r="B285" s="31" t="s">
        <v>1</v>
      </c>
      <c r="C285" s="31" t="s">
        <v>2</v>
      </c>
      <c r="D285" s="38" t="s">
        <v>3</v>
      </c>
      <c r="E285" s="37" t="s">
        <v>4</v>
      </c>
      <c r="F285" s="32" t="s">
        <v>5</v>
      </c>
      <c r="G285" s="32" t="s">
        <v>6</v>
      </c>
      <c r="H285" s="33" t="s">
        <v>7</v>
      </c>
      <c r="I285" s="33" t="s">
        <v>8</v>
      </c>
      <c r="J285" s="34" t="s">
        <v>9</v>
      </c>
      <c r="K285" s="33" t="s">
        <v>10</v>
      </c>
      <c r="L285" s="35" t="s">
        <v>11</v>
      </c>
      <c r="M285" s="36"/>
      <c r="N285" s="39"/>
      <c r="O285" s="40"/>
      <c r="P285" s="41"/>
      <c r="Q285" s="40"/>
      <c r="R285" s="42"/>
      <c r="S285" s="43"/>
    </row>
    <row r="286" spans="2:19" ht="18.5" customHeight="1">
      <c r="B286" s="13">
        <v>494</v>
      </c>
      <c r="C286" s="13" t="s">
        <v>12</v>
      </c>
      <c r="D286" s="14" t="s">
        <v>47</v>
      </c>
      <c r="E286" s="6">
        <v>17312615452</v>
      </c>
      <c r="F286" s="5">
        <v>6634868332</v>
      </c>
      <c r="G286" s="5">
        <v>10476862746.93</v>
      </c>
      <c r="H286" s="5">
        <f t="shared" ref="H286:H294" si="93">SUM(F286+G286)</f>
        <v>17111731078.93</v>
      </c>
      <c r="I286" s="5">
        <f t="shared" ref="I286:I294" si="94">SUM(E286-H286)</f>
        <v>200884373.06999969</v>
      </c>
      <c r="J286" s="7">
        <f t="shared" ref="J286:J294" si="95">SUM(H286/E286)</f>
        <v>0.98839664788795423</v>
      </c>
      <c r="K286" s="6">
        <f t="shared" ref="K286:K294" si="96">SUM(I286*0.2)</f>
        <v>40176874.61399994</v>
      </c>
      <c r="L286" s="19">
        <v>49700808.769999996</v>
      </c>
    </row>
    <row r="287" spans="2:19" ht="18.5" customHeight="1">
      <c r="B287" s="13">
        <v>494</v>
      </c>
      <c r="C287" s="13" t="s">
        <v>14</v>
      </c>
      <c r="D287" s="14" t="s">
        <v>47</v>
      </c>
      <c r="E287" s="6">
        <v>17419326950</v>
      </c>
      <c r="F287" s="5">
        <v>7129072494</v>
      </c>
      <c r="G287" s="5">
        <v>10068766252</v>
      </c>
      <c r="H287" s="5">
        <f t="shared" si="93"/>
        <v>17197838746</v>
      </c>
      <c r="I287" s="5">
        <f t="shared" si="94"/>
        <v>221488204</v>
      </c>
      <c r="J287" s="7">
        <f t="shared" si="95"/>
        <v>0.98728491607995217</v>
      </c>
      <c r="K287" s="6">
        <f t="shared" si="96"/>
        <v>44297640.800000004</v>
      </c>
      <c r="L287" s="19">
        <v>51339490.850000001</v>
      </c>
    </row>
    <row r="288" spans="2:19" ht="18.5" customHeight="1">
      <c r="B288" s="13">
        <v>494</v>
      </c>
      <c r="C288" s="13" t="s">
        <v>15</v>
      </c>
      <c r="D288" s="14" t="s">
        <v>47</v>
      </c>
      <c r="E288" s="6">
        <v>16951178830</v>
      </c>
      <c r="F288" s="5">
        <v>7094797849</v>
      </c>
      <c r="G288" s="5">
        <v>9487899955.3282013</v>
      </c>
      <c r="H288" s="5">
        <f t="shared" si="93"/>
        <v>16582697804.328201</v>
      </c>
      <c r="I288" s="5">
        <f t="shared" si="94"/>
        <v>368481025.67179871</v>
      </c>
      <c r="J288" s="7">
        <f t="shared" si="95"/>
        <v>0.97826221825825677</v>
      </c>
      <c r="K288" s="6">
        <f t="shared" si="96"/>
        <v>73696205.134359747</v>
      </c>
      <c r="L288" s="19">
        <v>80939793.100000009</v>
      </c>
    </row>
    <row r="289" spans="2:19" ht="18.5" customHeight="1">
      <c r="B289" s="13">
        <v>494</v>
      </c>
      <c r="C289" s="13" t="s">
        <v>16</v>
      </c>
      <c r="D289" s="14" t="s">
        <v>47</v>
      </c>
      <c r="E289" s="6">
        <v>15473459499</v>
      </c>
      <c r="F289" s="5">
        <v>1879609321</v>
      </c>
      <c r="G289" s="5">
        <v>12344341109</v>
      </c>
      <c r="H289" s="5">
        <f t="shared" si="93"/>
        <v>14223950430</v>
      </c>
      <c r="I289" s="5">
        <f t="shared" si="94"/>
        <v>1249509069</v>
      </c>
      <c r="J289" s="7">
        <f t="shared" si="95"/>
        <v>0.91924824121711424</v>
      </c>
      <c r="K289" s="6">
        <f t="shared" si="96"/>
        <v>249901813.80000001</v>
      </c>
      <c r="L289" s="19">
        <v>77316438.350000009</v>
      </c>
    </row>
    <row r="290" spans="2:19" ht="18.5" customHeight="1">
      <c r="B290" s="13">
        <v>494</v>
      </c>
      <c r="C290" s="13" t="s">
        <v>17</v>
      </c>
      <c r="D290" s="14" t="s">
        <v>47</v>
      </c>
      <c r="E290" s="6">
        <v>15473459499</v>
      </c>
      <c r="F290" s="5">
        <v>1881985321</v>
      </c>
      <c r="G290" s="5">
        <v>13228184413</v>
      </c>
      <c r="H290" s="5">
        <f t="shared" si="93"/>
        <v>15110169734</v>
      </c>
      <c r="I290" s="5">
        <f t="shared" si="94"/>
        <v>363289765</v>
      </c>
      <c r="J290" s="7">
        <f t="shared" si="95"/>
        <v>0.97652174906177391</v>
      </c>
      <c r="K290" s="6">
        <f t="shared" si="96"/>
        <v>72657953</v>
      </c>
      <c r="L290" s="19">
        <v>77740080</v>
      </c>
    </row>
    <row r="291" spans="2:19" ht="18.5" customHeight="1">
      <c r="B291" s="13">
        <v>494</v>
      </c>
      <c r="C291" s="13" t="s">
        <v>18</v>
      </c>
      <c r="D291" s="14" t="s">
        <v>47</v>
      </c>
      <c r="E291" s="6">
        <v>13525358339</v>
      </c>
      <c r="F291" s="5">
        <v>1542017493</v>
      </c>
      <c r="G291" s="5">
        <v>11978038275</v>
      </c>
      <c r="H291" s="5">
        <f t="shared" si="93"/>
        <v>13520055768</v>
      </c>
      <c r="I291" s="5">
        <f t="shared" si="94"/>
        <v>5302571</v>
      </c>
      <c r="J291" s="7">
        <f t="shared" si="95"/>
        <v>0.99960795338155961</v>
      </c>
      <c r="K291" s="6">
        <f t="shared" si="96"/>
        <v>1060514.2</v>
      </c>
      <c r="L291" s="19">
        <v>109215264</v>
      </c>
    </row>
    <row r="292" spans="2:19" ht="18.5" customHeight="1">
      <c r="B292" s="13">
        <v>494</v>
      </c>
      <c r="C292" s="13" t="s">
        <v>19</v>
      </c>
      <c r="D292" s="14" t="s">
        <v>47</v>
      </c>
      <c r="E292" s="8">
        <v>13403964947</v>
      </c>
      <c r="F292" s="8">
        <v>1550319574</v>
      </c>
      <c r="G292" s="8">
        <v>11846780492</v>
      </c>
      <c r="H292" s="5">
        <f t="shared" si="93"/>
        <v>13397100066</v>
      </c>
      <c r="I292" s="5">
        <f t="shared" si="94"/>
        <v>6864881</v>
      </c>
      <c r="J292" s="7">
        <f t="shared" si="95"/>
        <v>0.99948784698951809</v>
      </c>
      <c r="K292" s="6">
        <f t="shared" si="96"/>
        <v>1372976.2000000002</v>
      </c>
      <c r="L292" s="4">
        <v>114760689</v>
      </c>
      <c r="M292" s="4"/>
    </row>
    <row r="293" spans="2:19" ht="18.5" customHeight="1">
      <c r="B293" s="13">
        <v>494</v>
      </c>
      <c r="C293" s="13" t="s">
        <v>20</v>
      </c>
      <c r="D293" s="14" t="s">
        <v>47</v>
      </c>
      <c r="E293" s="8">
        <v>31936266758</v>
      </c>
      <c r="F293" s="8">
        <v>2056240482</v>
      </c>
      <c r="G293" s="8">
        <v>29877602506</v>
      </c>
      <c r="H293" s="5">
        <f t="shared" si="93"/>
        <v>31933842988</v>
      </c>
      <c r="I293" s="5">
        <f t="shared" si="94"/>
        <v>2423770</v>
      </c>
      <c r="J293" s="7">
        <f t="shared" si="95"/>
        <v>0.99992410603223081</v>
      </c>
      <c r="K293" s="6">
        <f t="shared" si="96"/>
        <v>484754</v>
      </c>
      <c r="L293" s="19">
        <v>134251220.48999998</v>
      </c>
    </row>
    <row r="294" spans="2:19" ht="18.5" customHeight="1">
      <c r="B294" s="13">
        <v>494</v>
      </c>
      <c r="C294" s="13" t="s">
        <v>21</v>
      </c>
      <c r="D294" s="14" t="s">
        <v>47</v>
      </c>
      <c r="E294" s="5">
        <v>32896722757.73262</v>
      </c>
      <c r="F294" s="5">
        <v>2047576920.3699999</v>
      </c>
      <c r="G294" s="5">
        <v>30845561244.492619</v>
      </c>
      <c r="H294" s="5">
        <f t="shared" si="93"/>
        <v>32893138164.862617</v>
      </c>
      <c r="I294" s="5">
        <f t="shared" si="94"/>
        <v>3584592.8700027466</v>
      </c>
      <c r="J294" s="7">
        <f t="shared" si="95"/>
        <v>0.99989103495517162</v>
      </c>
      <c r="K294" s="6">
        <f t="shared" si="96"/>
        <v>716918.57400054939</v>
      </c>
      <c r="L294" s="19">
        <v>106533925.41999999</v>
      </c>
    </row>
    <row r="295" spans="2:19" s="24" customFormat="1" ht="18.5" customHeight="1">
      <c r="B295" s="27"/>
      <c r="C295" s="27"/>
      <c r="D295" s="28" t="s">
        <v>22</v>
      </c>
      <c r="E295" s="23">
        <f>SUM(E286:E294)/9</f>
        <v>19376928114.636955</v>
      </c>
      <c r="F295" s="23">
        <f>SUM(F286:F294)/9</f>
        <v>3535165309.5966663</v>
      </c>
      <c r="G295" s="23">
        <f>SUM(G286:G294)/9</f>
        <v>15572670777.083426</v>
      </c>
      <c r="H295" s="23">
        <f>SUM(H286:H294)/9</f>
        <v>19107836086.680092</v>
      </c>
      <c r="I295" s="23">
        <f>SUM(I286:I294)/9</f>
        <v>269092027.9568668</v>
      </c>
      <c r="J295" s="29">
        <f>SUM(H295/E295)</f>
        <v>0.98611276119904701</v>
      </c>
      <c r="K295" s="23">
        <f>SUM(K286:K294)/9</f>
        <v>53818405.591373354</v>
      </c>
      <c r="L295" s="20">
        <f>SUM(L286:L294)/9</f>
        <v>89088634.442222223</v>
      </c>
      <c r="M295" s="20"/>
    </row>
    <row r="296" spans="2:19" s="24" customFormat="1" ht="18.5" customHeight="1">
      <c r="B296" s="27"/>
      <c r="C296" s="27"/>
      <c r="D296" s="28"/>
      <c r="E296" s="23"/>
      <c r="F296" s="23"/>
      <c r="G296" s="23"/>
      <c r="H296" s="23"/>
      <c r="I296" s="23"/>
      <c r="J296" s="29"/>
      <c r="K296" s="23"/>
      <c r="L296" s="20"/>
      <c r="M296" s="20"/>
    </row>
    <row r="297" spans="2:19" s="25" customFormat="1" ht="45.95" customHeight="1">
      <c r="B297" s="31" t="s">
        <v>1</v>
      </c>
      <c r="C297" s="31" t="s">
        <v>2</v>
      </c>
      <c r="D297" s="38" t="s">
        <v>3</v>
      </c>
      <c r="E297" s="37" t="s">
        <v>4</v>
      </c>
      <c r="F297" s="32" t="s">
        <v>5</v>
      </c>
      <c r="G297" s="32" t="s">
        <v>6</v>
      </c>
      <c r="H297" s="33" t="s">
        <v>7</v>
      </c>
      <c r="I297" s="33" t="s">
        <v>8</v>
      </c>
      <c r="J297" s="34" t="s">
        <v>9</v>
      </c>
      <c r="K297" s="33" t="s">
        <v>10</v>
      </c>
      <c r="L297" s="35" t="s">
        <v>11</v>
      </c>
      <c r="M297" s="36"/>
      <c r="N297" s="39"/>
      <c r="O297" s="40"/>
      <c r="P297" s="41"/>
      <c r="Q297" s="40"/>
      <c r="R297" s="42"/>
      <c r="S297" s="43"/>
    </row>
    <row r="298" spans="2:19" ht="18.5" customHeight="1">
      <c r="B298" s="13">
        <v>497</v>
      </c>
      <c r="C298" s="13" t="s">
        <v>12</v>
      </c>
      <c r="D298" s="14" t="s">
        <v>48</v>
      </c>
      <c r="E298" s="6">
        <v>128324000</v>
      </c>
      <c r="F298" s="5">
        <v>99838800</v>
      </c>
      <c r="G298" s="5">
        <v>26657219</v>
      </c>
      <c r="H298" s="5">
        <f t="shared" ref="H298:H306" si="97">SUM(F298+G298)</f>
        <v>126496019</v>
      </c>
      <c r="I298" s="5">
        <f t="shared" ref="I298:I306" si="98">SUM(E298-H298)</f>
        <v>1827981</v>
      </c>
      <c r="J298" s="7">
        <f t="shared" ref="J298:J306" si="99">SUM(H298/E298)</f>
        <v>0.98575495620460707</v>
      </c>
      <c r="K298" s="6">
        <f t="shared" ref="K298:K306" si="100">SUM(I298*0.2)</f>
        <v>365596.2</v>
      </c>
      <c r="L298" s="19">
        <v>1430081.63</v>
      </c>
    </row>
    <row r="299" spans="2:19" ht="18.5" customHeight="1">
      <c r="B299" s="13">
        <v>497</v>
      </c>
      <c r="C299" s="13" t="s">
        <v>14</v>
      </c>
      <c r="D299" s="14" t="s">
        <v>48</v>
      </c>
      <c r="E299" s="6">
        <v>136932600</v>
      </c>
      <c r="F299" s="5">
        <v>107824200</v>
      </c>
      <c r="G299" s="5">
        <v>27930010</v>
      </c>
      <c r="H299" s="5">
        <f t="shared" si="97"/>
        <v>135754210</v>
      </c>
      <c r="I299" s="5">
        <f t="shared" si="98"/>
        <v>1178390</v>
      </c>
      <c r="J299" s="7">
        <f t="shared" si="99"/>
        <v>0.99139437942462205</v>
      </c>
      <c r="K299" s="6">
        <f t="shared" si="100"/>
        <v>235678</v>
      </c>
      <c r="L299" s="19">
        <v>2138682.4699999997</v>
      </c>
    </row>
    <row r="300" spans="2:19" ht="18.5" customHeight="1">
      <c r="B300" s="13">
        <v>497</v>
      </c>
      <c r="C300" s="13" t="s">
        <v>15</v>
      </c>
      <c r="D300" s="14" t="s">
        <v>48</v>
      </c>
      <c r="E300" s="6">
        <v>140426700</v>
      </c>
      <c r="F300" s="5">
        <v>112038100</v>
      </c>
      <c r="G300" s="5">
        <v>25967340</v>
      </c>
      <c r="H300" s="5">
        <f t="shared" si="97"/>
        <v>138005440</v>
      </c>
      <c r="I300" s="5">
        <f t="shared" si="98"/>
        <v>2421260</v>
      </c>
      <c r="J300" s="7">
        <f t="shared" si="99"/>
        <v>0.98275783736283773</v>
      </c>
      <c r="K300" s="6">
        <f t="shared" si="100"/>
        <v>484252</v>
      </c>
      <c r="L300" s="19">
        <v>2313640.25</v>
      </c>
    </row>
    <row r="301" spans="2:19" ht="18.5" customHeight="1">
      <c r="B301" s="13">
        <v>497</v>
      </c>
      <c r="C301" s="13" t="s">
        <v>16</v>
      </c>
      <c r="D301" s="14" t="s">
        <v>48</v>
      </c>
      <c r="E301" s="6">
        <v>151039600</v>
      </c>
      <c r="F301" s="5">
        <v>113529500</v>
      </c>
      <c r="G301" s="5">
        <v>35642651</v>
      </c>
      <c r="H301" s="5">
        <f t="shared" si="97"/>
        <v>149172151</v>
      </c>
      <c r="I301" s="5">
        <f t="shared" si="98"/>
        <v>1867449</v>
      </c>
      <c r="J301" s="7">
        <f t="shared" si="99"/>
        <v>0.98763603055092841</v>
      </c>
      <c r="K301" s="6">
        <f t="shared" si="100"/>
        <v>373489.80000000005</v>
      </c>
      <c r="L301" s="19">
        <v>2412462.4</v>
      </c>
    </row>
    <row r="302" spans="2:19" ht="18.5" customHeight="1">
      <c r="B302" s="13">
        <v>497</v>
      </c>
      <c r="C302" s="13" t="s">
        <v>17</v>
      </c>
      <c r="D302" s="14" t="s">
        <v>48</v>
      </c>
      <c r="E302" s="6">
        <v>150864300</v>
      </c>
      <c r="F302" s="5">
        <v>113515200</v>
      </c>
      <c r="G302" s="5">
        <v>35481651</v>
      </c>
      <c r="H302" s="5">
        <f t="shared" si="97"/>
        <v>148996851</v>
      </c>
      <c r="I302" s="5">
        <f t="shared" si="98"/>
        <v>1867449</v>
      </c>
      <c r="J302" s="7">
        <f t="shared" si="99"/>
        <v>0.9876216639721922</v>
      </c>
      <c r="K302" s="6">
        <f t="shared" si="100"/>
        <v>373489.80000000005</v>
      </c>
      <c r="L302" s="19">
        <v>2047063</v>
      </c>
    </row>
    <row r="303" spans="2:19" ht="18.5" customHeight="1">
      <c r="B303" s="13">
        <v>497</v>
      </c>
      <c r="C303" s="13" t="s">
        <v>18</v>
      </c>
      <c r="D303" s="14" t="s">
        <v>48</v>
      </c>
      <c r="E303" s="6">
        <v>147014400</v>
      </c>
      <c r="F303" s="5">
        <v>117078500</v>
      </c>
      <c r="G303" s="5">
        <v>613200</v>
      </c>
      <c r="H303" s="5">
        <f t="shared" si="97"/>
        <v>117691700</v>
      </c>
      <c r="I303" s="5">
        <f t="shared" si="98"/>
        <v>29322700</v>
      </c>
      <c r="J303" s="7">
        <f t="shared" si="99"/>
        <v>0.80054538875103387</v>
      </c>
      <c r="K303" s="6">
        <f t="shared" si="100"/>
        <v>5864540</v>
      </c>
      <c r="L303" s="19">
        <v>2253360</v>
      </c>
    </row>
    <row r="304" spans="2:19" ht="18.5" customHeight="1">
      <c r="B304" s="13">
        <v>497</v>
      </c>
      <c r="C304" s="13" t="s">
        <v>19</v>
      </c>
      <c r="D304" s="14" t="s">
        <v>48</v>
      </c>
      <c r="E304" s="8">
        <v>146048500</v>
      </c>
      <c r="F304" s="8">
        <v>104896000</v>
      </c>
      <c r="G304" s="8">
        <v>38516667</v>
      </c>
      <c r="H304" s="5">
        <f t="shared" si="97"/>
        <v>143412667</v>
      </c>
      <c r="I304" s="5">
        <f t="shared" si="98"/>
        <v>2635833</v>
      </c>
      <c r="J304" s="7">
        <f t="shared" si="99"/>
        <v>0.98195234459785619</v>
      </c>
      <c r="K304" s="6">
        <f t="shared" si="100"/>
        <v>527166.6</v>
      </c>
      <c r="L304" s="4">
        <v>2022523</v>
      </c>
      <c r="M304" s="4"/>
    </row>
    <row r="305" spans="2:19" ht="18.5" customHeight="1">
      <c r="B305" s="13">
        <v>497</v>
      </c>
      <c r="C305" s="13" t="s">
        <v>20</v>
      </c>
      <c r="D305" s="14" t="s">
        <v>48</v>
      </c>
      <c r="E305" s="8">
        <v>142117500</v>
      </c>
      <c r="F305" s="8">
        <v>106589400</v>
      </c>
      <c r="G305" s="8">
        <v>0</v>
      </c>
      <c r="H305" s="5">
        <f t="shared" si="97"/>
        <v>106589400</v>
      </c>
      <c r="I305" s="5">
        <f t="shared" si="98"/>
        <v>35528100</v>
      </c>
      <c r="J305" s="7">
        <f t="shared" si="99"/>
        <v>0.75000897144968071</v>
      </c>
      <c r="K305" s="6">
        <f t="shared" si="100"/>
        <v>7105620</v>
      </c>
      <c r="L305" s="19">
        <v>2574354.2300000004</v>
      </c>
    </row>
    <row r="306" spans="2:19" ht="18.5" customHeight="1">
      <c r="B306" s="13">
        <v>497</v>
      </c>
      <c r="C306" s="13" t="s">
        <v>21</v>
      </c>
      <c r="D306" s="14" t="s">
        <v>48</v>
      </c>
      <c r="E306" s="5">
        <v>160261095</v>
      </c>
      <c r="F306" s="5">
        <v>117454052</v>
      </c>
      <c r="G306" s="5">
        <v>26618730</v>
      </c>
      <c r="H306" s="5">
        <f t="shared" si="97"/>
        <v>144072782</v>
      </c>
      <c r="I306" s="5">
        <f t="shared" si="98"/>
        <v>16188313</v>
      </c>
      <c r="J306" s="7">
        <f t="shared" si="99"/>
        <v>0.89898787974710892</v>
      </c>
      <c r="K306" s="6">
        <f t="shared" si="100"/>
        <v>3237662.6</v>
      </c>
      <c r="L306" s="19">
        <v>2480797.2400000002</v>
      </c>
    </row>
    <row r="307" spans="2:19" s="24" customFormat="1" ht="18.5" customHeight="1">
      <c r="B307" s="27"/>
      <c r="C307" s="27"/>
      <c r="D307" s="28" t="s">
        <v>22</v>
      </c>
      <c r="E307" s="23">
        <f>SUM(E298:E306)/9</f>
        <v>144780966.1111111</v>
      </c>
      <c r="F307" s="23">
        <f>SUM(F298:F306)/9</f>
        <v>110307083.55555555</v>
      </c>
      <c r="G307" s="23">
        <f>SUM(G298:G306)/9</f>
        <v>24158607.555555556</v>
      </c>
      <c r="H307" s="23">
        <f>SUM(H298:H306)/9</f>
        <v>134465691.1111111</v>
      </c>
      <c r="I307" s="23">
        <f>SUM(I298:I306)/9</f>
        <v>10315275</v>
      </c>
      <c r="J307" s="29">
        <f>SUM(H307/E307)</f>
        <v>0.92875254754078918</v>
      </c>
      <c r="K307" s="23">
        <f>SUM(K298:K306)/9</f>
        <v>2063055</v>
      </c>
      <c r="L307" s="20">
        <f>SUM(L298:L306)/9</f>
        <v>2185884.9133333331</v>
      </c>
      <c r="M307" s="20"/>
    </row>
    <row r="308" spans="2:19" s="24" customFormat="1" ht="18.5" customHeight="1">
      <c r="B308" s="27"/>
      <c r="C308" s="27"/>
      <c r="D308" s="28"/>
      <c r="E308" s="23"/>
      <c r="F308" s="23"/>
      <c r="G308" s="23"/>
      <c r="H308" s="23"/>
      <c r="I308" s="23"/>
      <c r="J308" s="29"/>
      <c r="K308" s="23"/>
      <c r="L308" s="20"/>
      <c r="M308" s="20"/>
    </row>
    <row r="309" spans="2:19" s="25" customFormat="1" ht="45.95" customHeight="1">
      <c r="B309" s="31" t="s">
        <v>1</v>
      </c>
      <c r="C309" s="31" t="s">
        <v>2</v>
      </c>
      <c r="D309" s="38" t="s">
        <v>3</v>
      </c>
      <c r="E309" s="37" t="s">
        <v>4</v>
      </c>
      <c r="F309" s="32" t="s">
        <v>5</v>
      </c>
      <c r="G309" s="32" t="s">
        <v>6</v>
      </c>
      <c r="H309" s="33" t="s">
        <v>7</v>
      </c>
      <c r="I309" s="33" t="s">
        <v>8</v>
      </c>
      <c r="J309" s="34" t="s">
        <v>9</v>
      </c>
      <c r="K309" s="33" t="s">
        <v>10</v>
      </c>
      <c r="L309" s="35" t="s">
        <v>11</v>
      </c>
      <c r="M309" s="36"/>
      <c r="N309" s="39"/>
      <c r="O309" s="40"/>
      <c r="P309" s="41"/>
      <c r="Q309" s="40"/>
      <c r="R309" s="42"/>
      <c r="S309" s="43"/>
    </row>
    <row r="310" spans="2:19" ht="18.5" customHeight="1">
      <c r="B310" s="13">
        <v>503</v>
      </c>
      <c r="C310" s="13" t="s">
        <v>12</v>
      </c>
      <c r="D310" s="14" t="s">
        <v>49</v>
      </c>
      <c r="E310" s="6">
        <v>9014200</v>
      </c>
      <c r="F310" s="5">
        <v>8777800</v>
      </c>
      <c r="G310" s="5">
        <v>54800</v>
      </c>
      <c r="H310" s="5">
        <f t="shared" ref="H310:H318" si="101">SUM(F310+G310)</f>
        <v>8832600</v>
      </c>
      <c r="I310" s="5">
        <f t="shared" ref="I310:I318" si="102">SUM(E310-H310)</f>
        <v>181600</v>
      </c>
      <c r="J310" s="7">
        <f t="shared" ref="J310:J318" si="103">SUM(H310/E310)</f>
        <v>0.97985400812052093</v>
      </c>
      <c r="K310" s="6">
        <f t="shared" ref="K310:K318" si="104">SUM(I310*0.2)</f>
        <v>36320</v>
      </c>
      <c r="L310" s="19">
        <v>53814.950000000004</v>
      </c>
    </row>
    <row r="311" spans="2:19" ht="18.5" customHeight="1">
      <c r="B311" s="13">
        <v>503</v>
      </c>
      <c r="C311" s="13" t="s">
        <v>14</v>
      </c>
      <c r="D311" s="14" t="s">
        <v>49</v>
      </c>
      <c r="E311" s="6">
        <v>10946395</v>
      </c>
      <c r="F311" s="5">
        <v>10800495</v>
      </c>
      <c r="G311" s="5">
        <v>28190</v>
      </c>
      <c r="H311" s="5">
        <f t="shared" si="101"/>
        <v>10828685</v>
      </c>
      <c r="I311" s="5">
        <f t="shared" si="102"/>
        <v>117710</v>
      </c>
      <c r="J311" s="7">
        <f t="shared" si="103"/>
        <v>0.98924668806488347</v>
      </c>
      <c r="K311" s="6">
        <f t="shared" si="104"/>
        <v>23542</v>
      </c>
      <c r="L311" s="19">
        <v>50479.45</v>
      </c>
    </row>
    <row r="312" spans="2:19" ht="18.5" customHeight="1">
      <c r="B312" s="13">
        <v>503</v>
      </c>
      <c r="C312" s="13" t="s">
        <v>15</v>
      </c>
      <c r="D312" s="14" t="s">
        <v>49</v>
      </c>
      <c r="E312" s="6">
        <v>10849425</v>
      </c>
      <c r="F312" s="5">
        <v>10706925</v>
      </c>
      <c r="G312" s="5">
        <v>49640</v>
      </c>
      <c r="H312" s="5">
        <f t="shared" si="101"/>
        <v>10756565</v>
      </c>
      <c r="I312" s="5">
        <f t="shared" si="102"/>
        <v>92860</v>
      </c>
      <c r="J312" s="7">
        <f t="shared" si="103"/>
        <v>0.99144102106793675</v>
      </c>
      <c r="K312" s="6">
        <f t="shared" si="104"/>
        <v>18572</v>
      </c>
      <c r="L312" s="19">
        <v>56264.59</v>
      </c>
    </row>
    <row r="313" spans="2:19" ht="18.5" customHeight="1">
      <c r="B313" s="13">
        <v>503</v>
      </c>
      <c r="C313" s="13" t="s">
        <v>16</v>
      </c>
      <c r="D313" s="14" t="s">
        <v>49</v>
      </c>
      <c r="E313" s="6">
        <v>9087498</v>
      </c>
      <c r="F313" s="5">
        <v>7160398</v>
      </c>
      <c r="G313" s="5">
        <v>38740</v>
      </c>
      <c r="H313" s="5">
        <f t="shared" si="101"/>
        <v>7199138</v>
      </c>
      <c r="I313" s="5">
        <f t="shared" si="102"/>
        <v>1888360</v>
      </c>
      <c r="J313" s="7">
        <f t="shared" si="103"/>
        <v>0.79220243019585812</v>
      </c>
      <c r="K313" s="6">
        <f t="shared" si="104"/>
        <v>377672</v>
      </c>
      <c r="L313" s="19">
        <v>7707.85</v>
      </c>
    </row>
    <row r="314" spans="2:19" ht="18.5" customHeight="1">
      <c r="B314" s="13">
        <v>503</v>
      </c>
      <c r="C314" s="13" t="s">
        <v>17</v>
      </c>
      <c r="D314" s="14" t="s">
        <v>49</v>
      </c>
      <c r="E314" s="6">
        <v>9087498</v>
      </c>
      <c r="F314" s="5">
        <v>7160398</v>
      </c>
      <c r="G314" s="5">
        <v>38740</v>
      </c>
      <c r="H314" s="5">
        <f t="shared" si="101"/>
        <v>7199138</v>
      </c>
      <c r="I314" s="5">
        <f t="shared" si="102"/>
        <v>1888360</v>
      </c>
      <c r="J314" s="7">
        <f t="shared" si="103"/>
        <v>0.79220243019585812</v>
      </c>
      <c r="K314" s="6">
        <f t="shared" si="104"/>
        <v>377672</v>
      </c>
      <c r="L314" s="19">
        <v>28040</v>
      </c>
    </row>
    <row r="315" spans="2:19" ht="18.5" customHeight="1">
      <c r="B315" s="13">
        <v>503</v>
      </c>
      <c r="C315" s="13" t="s">
        <v>18</v>
      </c>
      <c r="D315" s="14" t="s">
        <v>49</v>
      </c>
      <c r="E315" s="6">
        <v>10896800</v>
      </c>
      <c r="F315" s="5">
        <v>9627175</v>
      </c>
      <c r="G315" s="5">
        <v>35140</v>
      </c>
      <c r="H315" s="5">
        <f t="shared" si="101"/>
        <v>9662315</v>
      </c>
      <c r="I315" s="5">
        <f t="shared" si="102"/>
        <v>1234485</v>
      </c>
      <c r="J315" s="7">
        <f t="shared" si="103"/>
        <v>0.88671123632626092</v>
      </c>
      <c r="K315" s="6">
        <f t="shared" si="104"/>
        <v>246897</v>
      </c>
      <c r="L315" s="19">
        <v>60253</v>
      </c>
    </row>
    <row r="316" spans="2:19" ht="18.5" customHeight="1">
      <c r="B316" s="16">
        <v>503</v>
      </c>
      <c r="C316" s="16" t="s">
        <v>19</v>
      </c>
      <c r="D316" s="17" t="s">
        <v>49</v>
      </c>
      <c r="E316" s="11">
        <v>13752300</v>
      </c>
      <c r="F316" s="8">
        <v>12705250</v>
      </c>
      <c r="G316" s="8">
        <v>941500</v>
      </c>
      <c r="H316" s="5">
        <f t="shared" si="101"/>
        <v>13646750</v>
      </c>
      <c r="I316" s="5">
        <f t="shared" si="102"/>
        <v>105550</v>
      </c>
      <c r="J316" s="7">
        <f t="shared" si="103"/>
        <v>0.99232492019516738</v>
      </c>
      <c r="K316" s="6">
        <f t="shared" si="104"/>
        <v>21110</v>
      </c>
      <c r="L316" s="4">
        <v>42880</v>
      </c>
      <c r="M316" s="4"/>
    </row>
    <row r="317" spans="2:19" s="15" customFormat="1" ht="19.25" customHeight="1">
      <c r="B317" s="16">
        <v>503</v>
      </c>
      <c r="C317" s="16" t="s">
        <v>20</v>
      </c>
      <c r="D317" s="17" t="s">
        <v>49</v>
      </c>
      <c r="E317" s="11">
        <v>12896400</v>
      </c>
      <c r="F317" s="11">
        <v>11841600</v>
      </c>
      <c r="G317" s="11">
        <v>117000</v>
      </c>
      <c r="H317" s="5">
        <f t="shared" si="101"/>
        <v>11958600</v>
      </c>
      <c r="I317" s="5">
        <f t="shared" si="102"/>
        <v>937800</v>
      </c>
      <c r="J317" s="7">
        <f t="shared" si="103"/>
        <v>0.92728203219503114</v>
      </c>
      <c r="K317" s="6">
        <f t="shared" si="104"/>
        <v>187560</v>
      </c>
      <c r="L317" s="19">
        <v>34137.440000000002</v>
      </c>
      <c r="M317" s="19"/>
    </row>
    <row r="318" spans="2:19" s="15" customFormat="1" ht="19.25" customHeight="1">
      <c r="B318" s="16">
        <v>503</v>
      </c>
      <c r="C318" s="13" t="s">
        <v>21</v>
      </c>
      <c r="D318" s="17" t="s">
        <v>49</v>
      </c>
      <c r="E318" s="5">
        <v>64826800</v>
      </c>
      <c r="F318" s="5">
        <v>14225000</v>
      </c>
      <c r="G318" s="5">
        <v>117000</v>
      </c>
      <c r="H318" s="5">
        <f t="shared" si="101"/>
        <v>14342000</v>
      </c>
      <c r="I318" s="5">
        <f t="shared" si="102"/>
        <v>50484800</v>
      </c>
      <c r="J318" s="7">
        <f t="shared" si="103"/>
        <v>0.22123566179419624</v>
      </c>
      <c r="K318" s="6">
        <f t="shared" si="104"/>
        <v>10096960</v>
      </c>
      <c r="L318" s="19">
        <v>39650.619999999995</v>
      </c>
      <c r="M318" s="19"/>
    </row>
    <row r="319" spans="2:19" s="24" customFormat="1" ht="18.5" customHeight="1">
      <c r="B319" s="27"/>
      <c r="C319" s="27"/>
      <c r="D319" s="28" t="s">
        <v>22</v>
      </c>
      <c r="E319" s="23">
        <f>SUM(E310:E318)/9</f>
        <v>16817479.555555556</v>
      </c>
      <c r="F319" s="23">
        <f>SUM(F310:F318)/9</f>
        <v>10333893.444444444</v>
      </c>
      <c r="G319" s="23">
        <f>SUM(G310:G318)/9</f>
        <v>157861.11111111112</v>
      </c>
      <c r="H319" s="23">
        <f>SUM(H310:H318)/9</f>
        <v>10491754.555555556</v>
      </c>
      <c r="I319" s="23">
        <f>SUM(I310:I318)/9</f>
        <v>6325725</v>
      </c>
      <c r="J319" s="29">
        <f>SUM(H319/E319)</f>
        <v>0.62386010465460418</v>
      </c>
      <c r="K319" s="23">
        <f>SUM(K310:K318)/9</f>
        <v>1265145</v>
      </c>
      <c r="L319" s="20">
        <f>SUM(L310:L318)/9</f>
        <v>41469.766666666663</v>
      </c>
      <c r="M319" s="20"/>
    </row>
    <row r="320" spans="2:19" s="24" customFormat="1" ht="18.5" customHeight="1">
      <c r="B320" s="27"/>
      <c r="C320" s="27"/>
      <c r="D320" s="28"/>
      <c r="E320" s="23"/>
      <c r="F320" s="23"/>
      <c r="G320" s="23"/>
      <c r="H320" s="23"/>
      <c r="I320" s="23"/>
      <c r="J320" s="29"/>
      <c r="K320" s="23"/>
      <c r="L320" s="20"/>
      <c r="M320" s="20"/>
    </row>
    <row r="321" spans="2:19" s="25" customFormat="1" ht="45.95" customHeight="1">
      <c r="B321" s="31" t="s">
        <v>1</v>
      </c>
      <c r="C321" s="31" t="s">
        <v>2</v>
      </c>
      <c r="D321" s="38" t="s">
        <v>3</v>
      </c>
      <c r="E321" s="37" t="s">
        <v>4</v>
      </c>
      <c r="F321" s="32" t="s">
        <v>5</v>
      </c>
      <c r="G321" s="32" t="s">
        <v>6</v>
      </c>
      <c r="H321" s="33" t="s">
        <v>7</v>
      </c>
      <c r="I321" s="33" t="s">
        <v>8</v>
      </c>
      <c r="J321" s="34" t="s">
        <v>9</v>
      </c>
      <c r="K321" s="33" t="s">
        <v>10</v>
      </c>
      <c r="L321" s="35" t="s">
        <v>11</v>
      </c>
      <c r="M321" s="36"/>
      <c r="N321" s="39"/>
      <c r="O321" s="40"/>
      <c r="P321" s="41"/>
      <c r="Q321" s="40"/>
      <c r="R321" s="42"/>
      <c r="S321" s="43"/>
    </row>
    <row r="322" spans="2:19" ht="18.5" customHeight="1">
      <c r="B322" s="13">
        <v>506</v>
      </c>
      <c r="C322" s="13" t="s">
        <v>18</v>
      </c>
      <c r="D322" s="14" t="s">
        <v>50</v>
      </c>
      <c r="E322" s="6">
        <v>10371900</v>
      </c>
      <c r="F322" s="5">
        <v>7045000</v>
      </c>
      <c r="G322" s="5">
        <v>1537000</v>
      </c>
      <c r="H322" s="5">
        <f>SUM(F322+G322)</f>
        <v>8582000</v>
      </c>
      <c r="I322" s="5">
        <f>SUM(E322-H322)</f>
        <v>1789900</v>
      </c>
      <c r="J322" s="7">
        <f>SUM(H322/E322)</f>
        <v>0.82742795437672945</v>
      </c>
      <c r="K322" s="6">
        <f>SUM(I322*0.2)</f>
        <v>357980</v>
      </c>
      <c r="L322" s="19">
        <v>94548</v>
      </c>
    </row>
    <row r="323" spans="2:19" ht="18.5" customHeight="1">
      <c r="B323" s="13">
        <v>506</v>
      </c>
      <c r="C323" s="13" t="s">
        <v>19</v>
      </c>
      <c r="D323" s="14" t="s">
        <v>50</v>
      </c>
      <c r="E323" s="11">
        <v>11900000</v>
      </c>
      <c r="F323" s="8">
        <v>7753200</v>
      </c>
      <c r="G323" s="8">
        <v>1191203</v>
      </c>
      <c r="H323" s="5">
        <f>SUM(F323+G323)</f>
        <v>8944403</v>
      </c>
      <c r="I323" s="5">
        <f>SUM(E323-H323)</f>
        <v>2955597</v>
      </c>
      <c r="J323" s="7">
        <f>SUM(H323/E323)</f>
        <v>0.75163050420168065</v>
      </c>
      <c r="K323" s="6">
        <f>SUM(I323*0.2)</f>
        <v>591119.4</v>
      </c>
      <c r="L323" s="4">
        <v>82152</v>
      </c>
      <c r="M323" s="4"/>
    </row>
    <row r="324" spans="2:19" ht="18.5" customHeight="1">
      <c r="B324" s="13">
        <v>506</v>
      </c>
      <c r="C324" s="13" t="s">
        <v>20</v>
      </c>
      <c r="D324" s="14" t="s">
        <v>50</v>
      </c>
      <c r="E324" s="11">
        <v>10204370</v>
      </c>
      <c r="F324" s="8">
        <v>6209000</v>
      </c>
      <c r="G324" s="8">
        <v>1279303</v>
      </c>
      <c r="H324" s="5">
        <f>SUM(F324+G324)</f>
        <v>7488303</v>
      </c>
      <c r="I324" s="5">
        <f>SUM(E324-H324)</f>
        <v>2716067</v>
      </c>
      <c r="J324" s="7">
        <f>SUM(H324/E324)</f>
        <v>0.73383295588066677</v>
      </c>
      <c r="K324" s="6">
        <f>SUM(I324*0.2)</f>
        <v>543213.4</v>
      </c>
      <c r="L324" s="19">
        <v>251351.05</v>
      </c>
    </row>
    <row r="325" spans="2:19" ht="18.5" customHeight="1">
      <c r="B325" s="13">
        <v>506</v>
      </c>
      <c r="C325" s="13" t="s">
        <v>21</v>
      </c>
      <c r="D325" s="14" t="s">
        <v>50</v>
      </c>
      <c r="E325" s="5">
        <v>13875300</v>
      </c>
      <c r="F325" s="5">
        <v>11156561</v>
      </c>
      <c r="G325" s="5">
        <v>1139000</v>
      </c>
      <c r="H325" s="5">
        <f>SUM(F325+G325)</f>
        <v>12295561</v>
      </c>
      <c r="I325" s="5">
        <f>SUM(E325-H325)</f>
        <v>1579739</v>
      </c>
      <c r="J325" s="7">
        <f>SUM(H325/E325)</f>
        <v>0.88614739861480474</v>
      </c>
      <c r="K325" s="6">
        <f>SUM(I325*0.2)</f>
        <v>315947.80000000005</v>
      </c>
      <c r="L325" s="19">
        <v>313884.91000000003</v>
      </c>
    </row>
    <row r="326" spans="2:19" s="24" customFormat="1" ht="18.5" customHeight="1">
      <c r="B326" s="27"/>
      <c r="C326" s="27"/>
      <c r="D326" s="28" t="s">
        <v>51</v>
      </c>
      <c r="E326" s="23">
        <f>SUM(E322:E325)/4</f>
        <v>11587892.5</v>
      </c>
      <c r="F326" s="23">
        <f>SUM(F322:F325)/4</f>
        <v>8040940.25</v>
      </c>
      <c r="G326" s="23">
        <f>SUM(G322:G325)/4</f>
        <v>1286626.5</v>
      </c>
      <c r="H326" s="23">
        <f>SUM(H322:H325)/4</f>
        <v>9327566.75</v>
      </c>
      <c r="I326" s="23">
        <f>SUM(I322:I325)/4</f>
        <v>2260325.75</v>
      </c>
      <c r="J326" s="29">
        <f>SUM(H326/E326)</f>
        <v>0.80494073879266659</v>
      </c>
      <c r="K326" s="23">
        <f>SUM(K322:K325)/4</f>
        <v>452065.15</v>
      </c>
      <c r="L326" s="20">
        <f>SUM(L322:L325)/4</f>
        <v>185483.99</v>
      </c>
      <c r="M326" s="20"/>
    </row>
    <row r="327" spans="2:19" s="24" customFormat="1" ht="18.5" customHeight="1">
      <c r="B327" s="27"/>
      <c r="C327" s="27"/>
      <c r="D327" s="28"/>
      <c r="E327" s="23"/>
      <c r="F327" s="23"/>
      <c r="G327" s="23"/>
      <c r="H327" s="23"/>
      <c r="I327" s="23"/>
      <c r="J327" s="29"/>
      <c r="K327" s="23"/>
      <c r="L327" s="20"/>
      <c r="M327" s="20"/>
    </row>
    <row r="328" spans="2:19" s="25" customFormat="1" ht="45.95" customHeight="1">
      <c r="B328" s="31" t="s">
        <v>1</v>
      </c>
      <c r="C328" s="31" t="s">
        <v>2</v>
      </c>
      <c r="D328" s="38" t="s">
        <v>3</v>
      </c>
      <c r="E328" s="37" t="s">
        <v>4</v>
      </c>
      <c r="F328" s="32" t="s">
        <v>5</v>
      </c>
      <c r="G328" s="32" t="s">
        <v>6</v>
      </c>
      <c r="H328" s="33" t="s">
        <v>7</v>
      </c>
      <c r="I328" s="33" t="s">
        <v>8</v>
      </c>
      <c r="J328" s="34" t="s">
        <v>9</v>
      </c>
      <c r="K328" s="33" t="s">
        <v>10</v>
      </c>
      <c r="L328" s="35" t="s">
        <v>11</v>
      </c>
      <c r="M328" s="36"/>
      <c r="N328" s="39"/>
      <c r="O328" s="40"/>
      <c r="P328" s="41"/>
      <c r="Q328" s="40"/>
      <c r="R328" s="42"/>
      <c r="S328" s="43"/>
    </row>
    <row r="329" spans="2:19" ht="18.5" customHeight="1">
      <c r="B329" s="13">
        <v>511</v>
      </c>
      <c r="C329" s="13" t="s">
        <v>12</v>
      </c>
      <c r="D329" s="14" t="s">
        <v>52</v>
      </c>
      <c r="E329" s="6">
        <v>422259600</v>
      </c>
      <c r="F329" s="5">
        <v>18786600</v>
      </c>
      <c r="G329" s="5">
        <v>273860600</v>
      </c>
      <c r="H329" s="5">
        <f t="shared" ref="H329:H337" si="105">SUM(F329+G329)</f>
        <v>292647200</v>
      </c>
      <c r="I329" s="5">
        <f t="shared" ref="I329:I337" si="106">SUM(E329-H329)</f>
        <v>129612400</v>
      </c>
      <c r="J329" s="7">
        <f t="shared" ref="J329:J337" si="107">SUM(H329/E329)</f>
        <v>0.69305043627190477</v>
      </c>
      <c r="K329" s="6">
        <f t="shared" ref="K329:K337" si="108">SUM(I329*0.2)</f>
        <v>25922480</v>
      </c>
      <c r="L329" s="19">
        <v>32139194.730000004</v>
      </c>
    </row>
    <row r="330" spans="2:19" ht="18.5" customHeight="1">
      <c r="B330" s="13">
        <v>511</v>
      </c>
      <c r="C330" s="13" t="s">
        <v>14</v>
      </c>
      <c r="D330" s="14" t="s">
        <v>52</v>
      </c>
      <c r="E330" s="6">
        <v>150000000</v>
      </c>
      <c r="F330" s="5">
        <v>20615857</v>
      </c>
      <c r="G330" s="5">
        <v>1560032</v>
      </c>
      <c r="H330" s="5">
        <f t="shared" si="105"/>
        <v>22175889</v>
      </c>
      <c r="I330" s="5">
        <f t="shared" si="106"/>
        <v>127824111</v>
      </c>
      <c r="J330" s="7">
        <f t="shared" si="107"/>
        <v>0.14783926</v>
      </c>
      <c r="K330" s="6">
        <f t="shared" si="108"/>
        <v>25564822.200000003</v>
      </c>
      <c r="L330" s="19">
        <v>45999416.130000003</v>
      </c>
    </row>
    <row r="331" spans="2:19" ht="18.5" customHeight="1">
      <c r="B331" s="13">
        <v>511</v>
      </c>
      <c r="C331" s="13" t="s">
        <v>15</v>
      </c>
      <c r="D331" s="14" t="s">
        <v>52</v>
      </c>
      <c r="E331" s="6">
        <v>215155850</v>
      </c>
      <c r="F331" s="5">
        <v>22344300</v>
      </c>
      <c r="G331" s="5">
        <v>1601550</v>
      </c>
      <c r="H331" s="5">
        <f t="shared" si="105"/>
        <v>23945850</v>
      </c>
      <c r="I331" s="5">
        <f t="shared" si="106"/>
        <v>191210000</v>
      </c>
      <c r="J331" s="7">
        <f t="shared" si="107"/>
        <v>0.11129537030947567</v>
      </c>
      <c r="K331" s="6">
        <f t="shared" si="108"/>
        <v>38242000</v>
      </c>
      <c r="L331" s="19">
        <v>51757038.190000005</v>
      </c>
    </row>
    <row r="332" spans="2:19" ht="18.5" customHeight="1">
      <c r="B332" s="13">
        <v>511</v>
      </c>
      <c r="C332" s="13" t="s">
        <v>16</v>
      </c>
      <c r="D332" s="14" t="s">
        <v>52</v>
      </c>
      <c r="E332" s="6">
        <v>147450400</v>
      </c>
      <c r="F332" s="5">
        <v>22336150</v>
      </c>
      <c r="G332" s="5">
        <v>1802550</v>
      </c>
      <c r="H332" s="5">
        <f t="shared" si="105"/>
        <v>24138700</v>
      </c>
      <c r="I332" s="5">
        <f t="shared" si="106"/>
        <v>123311700</v>
      </c>
      <c r="J332" s="7">
        <f t="shared" si="107"/>
        <v>0.16370725342216771</v>
      </c>
      <c r="K332" s="6">
        <f t="shared" si="108"/>
        <v>24662340</v>
      </c>
      <c r="L332" s="19">
        <v>19074188.000000004</v>
      </c>
    </row>
    <row r="333" spans="2:19" ht="18.5" customHeight="1">
      <c r="B333" s="13">
        <v>511</v>
      </c>
      <c r="C333" s="13" t="s">
        <v>17</v>
      </c>
      <c r="D333" s="14" t="s">
        <v>52</v>
      </c>
      <c r="E333" s="6">
        <v>49412700</v>
      </c>
      <c r="F333" s="5">
        <v>22204596</v>
      </c>
      <c r="G333" s="5">
        <v>3980004</v>
      </c>
      <c r="H333" s="5">
        <f t="shared" si="105"/>
        <v>26184600</v>
      </c>
      <c r="I333" s="5">
        <f t="shared" si="106"/>
        <v>23228100</v>
      </c>
      <c r="J333" s="7">
        <f t="shared" si="107"/>
        <v>0.52991639801103763</v>
      </c>
      <c r="K333" s="6">
        <f t="shared" si="108"/>
        <v>4645620</v>
      </c>
      <c r="L333" s="19">
        <v>6024135</v>
      </c>
    </row>
    <row r="334" spans="2:19" ht="18.5" customHeight="1">
      <c r="B334" s="13">
        <v>511</v>
      </c>
      <c r="C334" s="13" t="s">
        <v>18</v>
      </c>
      <c r="D334" s="14" t="s">
        <v>52</v>
      </c>
      <c r="E334" s="6">
        <v>48635300</v>
      </c>
      <c r="F334" s="5">
        <v>22291346</v>
      </c>
      <c r="G334" s="5">
        <v>3904204</v>
      </c>
      <c r="H334" s="5">
        <f t="shared" si="105"/>
        <v>26195550</v>
      </c>
      <c r="I334" s="5">
        <f t="shared" si="106"/>
        <v>22439750</v>
      </c>
      <c r="J334" s="7">
        <f t="shared" si="107"/>
        <v>0.53861187244655628</v>
      </c>
      <c r="K334" s="6">
        <f t="shared" si="108"/>
        <v>4487950</v>
      </c>
      <c r="L334" s="19">
        <v>19703082</v>
      </c>
    </row>
    <row r="335" spans="2:19" ht="18.5" customHeight="1">
      <c r="B335" s="13">
        <v>511</v>
      </c>
      <c r="C335" s="13" t="s">
        <v>19</v>
      </c>
      <c r="D335" s="14" t="s">
        <v>52</v>
      </c>
      <c r="E335" s="11">
        <v>258138300</v>
      </c>
      <c r="F335" s="8">
        <v>22015446</v>
      </c>
      <c r="G335" s="8">
        <v>3773004</v>
      </c>
      <c r="H335" s="5">
        <f t="shared" si="105"/>
        <v>25788450</v>
      </c>
      <c r="I335" s="5">
        <f t="shared" si="106"/>
        <v>232349850</v>
      </c>
      <c r="J335" s="7">
        <f t="shared" si="107"/>
        <v>9.990168061074238E-2</v>
      </c>
      <c r="K335" s="6">
        <f t="shared" si="108"/>
        <v>46469970</v>
      </c>
      <c r="L335" s="4">
        <v>75065455</v>
      </c>
      <c r="M335" s="4"/>
    </row>
    <row r="336" spans="2:19" ht="18.5" customHeight="1">
      <c r="B336" s="13">
        <v>511</v>
      </c>
      <c r="C336" s="13" t="s">
        <v>20</v>
      </c>
      <c r="D336" s="14" t="s">
        <v>52</v>
      </c>
      <c r="E336" s="11">
        <v>881351650</v>
      </c>
      <c r="F336" s="8">
        <v>24359950</v>
      </c>
      <c r="G336" s="8">
        <v>6966700</v>
      </c>
      <c r="H336" s="5">
        <f t="shared" si="105"/>
        <v>31326650</v>
      </c>
      <c r="I336" s="5">
        <f t="shared" si="106"/>
        <v>850025000</v>
      </c>
      <c r="J336" s="7">
        <f t="shared" si="107"/>
        <v>3.5543871733830647E-2</v>
      </c>
      <c r="K336" s="6">
        <f t="shared" si="108"/>
        <v>170005000</v>
      </c>
      <c r="L336" s="19">
        <v>53197436.990000002</v>
      </c>
    </row>
    <row r="337" spans="2:19" ht="18.5" customHeight="1">
      <c r="B337" s="13">
        <v>511</v>
      </c>
      <c r="C337" s="13" t="s">
        <v>21</v>
      </c>
      <c r="D337" s="14" t="s">
        <v>52</v>
      </c>
      <c r="E337" s="5">
        <v>827912900</v>
      </c>
      <c r="F337" s="5">
        <v>27912900</v>
      </c>
      <c r="G337" s="5">
        <v>0</v>
      </c>
      <c r="H337" s="5">
        <f t="shared" si="105"/>
        <v>27912900</v>
      </c>
      <c r="I337" s="5">
        <f t="shared" si="106"/>
        <v>800000000</v>
      </c>
      <c r="J337" s="7">
        <f t="shared" si="107"/>
        <v>3.371477845072833E-2</v>
      </c>
      <c r="K337" s="6">
        <f t="shared" si="108"/>
        <v>160000000</v>
      </c>
      <c r="L337" s="19">
        <v>121069625.05999999</v>
      </c>
    </row>
    <row r="338" spans="2:19" s="24" customFormat="1" ht="18.5" customHeight="1">
      <c r="B338" s="27"/>
      <c r="C338" s="27"/>
      <c r="D338" s="28" t="s">
        <v>22</v>
      </c>
      <c r="E338" s="23">
        <f>SUM(E329:E337)/9</f>
        <v>333368522.22222221</v>
      </c>
      <c r="F338" s="23">
        <f>SUM(F329:F337)/9</f>
        <v>22540793.888888888</v>
      </c>
      <c r="G338" s="23">
        <f>SUM(G329:G337)/9</f>
        <v>33049849.333333332</v>
      </c>
      <c r="H338" s="23">
        <f>SUM(H329:H337)/9</f>
        <v>55590643.222222224</v>
      </c>
      <c r="I338" s="23">
        <f>SUM(I329:I337)/9</f>
        <v>277777879</v>
      </c>
      <c r="J338" s="29">
        <f>SUM(H338/E338)</f>
        <v>0.16675432596832196</v>
      </c>
      <c r="K338" s="23">
        <f>SUM(K329:K337)/9</f>
        <v>55555575.799999997</v>
      </c>
      <c r="L338" s="20">
        <f>SUM(L329:L337)/9</f>
        <v>47114396.788888894</v>
      </c>
      <c r="M338" s="20"/>
    </row>
    <row r="339" spans="2:19" s="24" customFormat="1" ht="18.5" customHeight="1">
      <c r="B339" s="27"/>
      <c r="C339" s="27"/>
      <c r="D339" s="28"/>
      <c r="E339" s="23"/>
      <c r="F339" s="23"/>
      <c r="G339" s="23"/>
      <c r="H339" s="23"/>
      <c r="I339" s="23"/>
      <c r="J339" s="29"/>
      <c r="K339" s="23"/>
      <c r="L339" s="20"/>
      <c r="M339" s="20"/>
    </row>
    <row r="340" spans="2:19" s="25" customFormat="1" ht="45.95" customHeight="1">
      <c r="B340" s="31" t="s">
        <v>1</v>
      </c>
      <c r="C340" s="31" t="s">
        <v>2</v>
      </c>
      <c r="D340" s="38" t="s">
        <v>3</v>
      </c>
      <c r="E340" s="37" t="s">
        <v>4</v>
      </c>
      <c r="F340" s="32" t="s">
        <v>5</v>
      </c>
      <c r="G340" s="32" t="s">
        <v>6</v>
      </c>
      <c r="H340" s="33" t="s">
        <v>7</v>
      </c>
      <c r="I340" s="33" t="s">
        <v>8</v>
      </c>
      <c r="J340" s="34" t="s">
        <v>9</v>
      </c>
      <c r="K340" s="33" t="s">
        <v>10</v>
      </c>
      <c r="L340" s="35" t="s">
        <v>11</v>
      </c>
      <c r="M340" s="36"/>
      <c r="N340" s="39"/>
      <c r="O340" s="40"/>
      <c r="P340" s="41"/>
      <c r="Q340" s="40"/>
      <c r="R340" s="42"/>
      <c r="S340" s="43"/>
    </row>
    <row r="341" spans="2:19" ht="18.5" customHeight="1">
      <c r="B341" s="13">
        <v>517</v>
      </c>
      <c r="C341" s="13" t="s">
        <v>12</v>
      </c>
      <c r="D341" s="14" t="s">
        <v>53</v>
      </c>
      <c r="E341" s="6">
        <v>378490</v>
      </c>
      <c r="F341" s="5">
        <v>342690</v>
      </c>
      <c r="G341" s="5">
        <v>35800</v>
      </c>
      <c r="H341" s="5">
        <f t="shared" ref="H341:H349" si="109">SUM(F341+G341)</f>
        <v>378490</v>
      </c>
      <c r="I341" s="5">
        <f t="shared" ref="I341:I349" si="110">SUM(E341-H341)</f>
        <v>0</v>
      </c>
      <c r="J341" s="7">
        <f t="shared" ref="J341:J349" si="111">SUM(H341/E341)</f>
        <v>1</v>
      </c>
      <c r="K341" s="6">
        <f t="shared" ref="K341:K349" si="112">SUM(I341*0.2)</f>
        <v>0</v>
      </c>
      <c r="L341" s="19">
        <v>4269.26</v>
      </c>
    </row>
    <row r="342" spans="2:19" ht="18.5" customHeight="1">
      <c r="B342" s="13">
        <v>517</v>
      </c>
      <c r="C342" s="13" t="s">
        <v>14</v>
      </c>
      <c r="D342" s="14" t="s">
        <v>53</v>
      </c>
      <c r="E342" s="6">
        <v>378976</v>
      </c>
      <c r="F342" s="5">
        <v>323329</v>
      </c>
      <c r="G342" s="5">
        <v>53647</v>
      </c>
      <c r="H342" s="5">
        <f t="shared" si="109"/>
        <v>376976</v>
      </c>
      <c r="I342" s="5">
        <f t="shared" si="110"/>
        <v>2000</v>
      </c>
      <c r="J342" s="7">
        <f t="shared" si="111"/>
        <v>0.99472262095752761</v>
      </c>
      <c r="K342" s="6">
        <f t="shared" si="112"/>
        <v>400</v>
      </c>
      <c r="L342" s="19">
        <v>1983.4</v>
      </c>
    </row>
    <row r="343" spans="2:19" ht="18.5" customHeight="1">
      <c r="B343" s="13">
        <v>517</v>
      </c>
      <c r="C343" s="13" t="s">
        <v>15</v>
      </c>
      <c r="D343" s="14" t="s">
        <v>53</v>
      </c>
      <c r="E343" s="6">
        <v>379000</v>
      </c>
      <c r="F343" s="5">
        <v>360002</v>
      </c>
      <c r="G343" s="5">
        <v>18827</v>
      </c>
      <c r="H343" s="5">
        <f t="shared" si="109"/>
        <v>378829</v>
      </c>
      <c r="I343" s="5">
        <f t="shared" si="110"/>
        <v>171</v>
      </c>
      <c r="J343" s="7">
        <f t="shared" si="111"/>
        <v>0.99954881266490769</v>
      </c>
      <c r="K343" s="6">
        <f t="shared" si="112"/>
        <v>34.200000000000003</v>
      </c>
      <c r="L343" s="19">
        <v>1972.91</v>
      </c>
    </row>
    <row r="344" spans="2:19" ht="18.5" customHeight="1">
      <c r="B344" s="13">
        <v>517</v>
      </c>
      <c r="C344" s="13" t="s">
        <v>16</v>
      </c>
      <c r="D344" s="14" t="s">
        <v>53</v>
      </c>
      <c r="E344" s="6">
        <v>379000</v>
      </c>
      <c r="F344" s="5">
        <v>349962</v>
      </c>
      <c r="G344" s="5">
        <v>29038</v>
      </c>
      <c r="H344" s="5">
        <f t="shared" si="109"/>
        <v>379000</v>
      </c>
      <c r="I344" s="5">
        <f t="shared" si="110"/>
        <v>0</v>
      </c>
      <c r="J344" s="7">
        <f t="shared" si="111"/>
        <v>1</v>
      </c>
      <c r="K344" s="6">
        <f t="shared" si="112"/>
        <v>0</v>
      </c>
      <c r="L344" s="19">
        <v>0</v>
      </c>
    </row>
    <row r="345" spans="2:19" ht="18.5" customHeight="1">
      <c r="B345" s="13">
        <v>517</v>
      </c>
      <c r="C345" s="13" t="s">
        <v>17</v>
      </c>
      <c r="D345" s="14" t="s">
        <v>53</v>
      </c>
      <c r="E345" s="6">
        <v>438800</v>
      </c>
      <c r="F345" s="5">
        <v>406660</v>
      </c>
      <c r="G345" s="5">
        <v>32140</v>
      </c>
      <c r="H345" s="5">
        <f t="shared" si="109"/>
        <v>438800</v>
      </c>
      <c r="I345" s="5">
        <f t="shared" si="110"/>
        <v>0</v>
      </c>
      <c r="J345" s="7">
        <f t="shared" si="111"/>
        <v>1</v>
      </c>
      <c r="K345" s="6">
        <f t="shared" si="112"/>
        <v>0</v>
      </c>
      <c r="L345" s="19">
        <v>24</v>
      </c>
    </row>
    <row r="346" spans="2:19" ht="18.5" customHeight="1">
      <c r="B346" s="13">
        <v>517</v>
      </c>
      <c r="C346" s="13" t="s">
        <v>18</v>
      </c>
      <c r="D346" s="14" t="s">
        <v>53</v>
      </c>
      <c r="E346" s="6">
        <v>416900</v>
      </c>
      <c r="F346" s="5">
        <v>380949</v>
      </c>
      <c r="G346" s="5">
        <v>35651</v>
      </c>
      <c r="H346" s="5">
        <f t="shared" si="109"/>
        <v>416600</v>
      </c>
      <c r="I346" s="5">
        <f t="shared" si="110"/>
        <v>300</v>
      </c>
      <c r="J346" s="7">
        <f t="shared" si="111"/>
        <v>0.9992804029743344</v>
      </c>
      <c r="K346" s="6">
        <f t="shared" si="112"/>
        <v>60</v>
      </c>
      <c r="L346" s="19">
        <v>5829</v>
      </c>
    </row>
    <row r="347" spans="2:19" ht="18.5" customHeight="1">
      <c r="B347" s="13">
        <v>517</v>
      </c>
      <c r="C347" s="13" t="s">
        <v>19</v>
      </c>
      <c r="D347" s="14" t="s">
        <v>53</v>
      </c>
      <c r="E347" s="11">
        <v>446200</v>
      </c>
      <c r="F347" s="8">
        <v>413102</v>
      </c>
      <c r="G347" s="8">
        <v>33098</v>
      </c>
      <c r="H347" s="5">
        <f t="shared" si="109"/>
        <v>446200</v>
      </c>
      <c r="I347" s="5">
        <f t="shared" si="110"/>
        <v>0</v>
      </c>
      <c r="J347" s="7">
        <f t="shared" si="111"/>
        <v>1</v>
      </c>
      <c r="K347" s="6">
        <f t="shared" si="112"/>
        <v>0</v>
      </c>
      <c r="L347" s="4">
        <v>646</v>
      </c>
      <c r="M347" s="4"/>
    </row>
    <row r="348" spans="2:19" ht="18.5" customHeight="1">
      <c r="B348" s="13">
        <v>517</v>
      </c>
      <c r="C348" s="13" t="s">
        <v>20</v>
      </c>
      <c r="D348" s="14" t="s">
        <v>53</v>
      </c>
      <c r="E348" s="11">
        <v>486153</v>
      </c>
      <c r="F348" s="8">
        <v>482060</v>
      </c>
      <c r="G348" s="8">
        <v>4093</v>
      </c>
      <c r="H348" s="5">
        <f t="shared" si="109"/>
        <v>486153</v>
      </c>
      <c r="I348" s="5">
        <f t="shared" si="110"/>
        <v>0</v>
      </c>
      <c r="J348" s="7">
        <f t="shared" si="111"/>
        <v>1</v>
      </c>
      <c r="K348" s="6">
        <f t="shared" si="112"/>
        <v>0</v>
      </c>
      <c r="L348" s="4">
        <v>0</v>
      </c>
      <c r="M348" s="4"/>
    </row>
    <row r="349" spans="2:19" ht="18.5" customHeight="1">
      <c r="B349" s="13">
        <v>517</v>
      </c>
      <c r="C349" s="13" t="s">
        <v>21</v>
      </c>
      <c r="D349" s="14" t="s">
        <v>53</v>
      </c>
      <c r="E349" s="5">
        <v>492810</v>
      </c>
      <c r="F349" s="5">
        <v>487456</v>
      </c>
      <c r="G349" s="5">
        <v>5354</v>
      </c>
      <c r="H349" s="5">
        <f t="shared" si="109"/>
        <v>492810</v>
      </c>
      <c r="I349" s="5">
        <f t="shared" si="110"/>
        <v>0</v>
      </c>
      <c r="J349" s="7">
        <f t="shared" si="111"/>
        <v>1</v>
      </c>
      <c r="K349" s="6">
        <f t="shared" si="112"/>
        <v>0</v>
      </c>
      <c r="L349" s="19">
        <v>592.91999999999996</v>
      </c>
    </row>
    <row r="350" spans="2:19" s="24" customFormat="1" ht="18.5" customHeight="1">
      <c r="B350" s="27"/>
      <c r="C350" s="27"/>
      <c r="D350" s="28" t="s">
        <v>22</v>
      </c>
      <c r="E350" s="23">
        <f>SUM(E341:E349)/9</f>
        <v>421814.33333333331</v>
      </c>
      <c r="F350" s="23">
        <f>SUM(F341:F349)/9</f>
        <v>394023.33333333331</v>
      </c>
      <c r="G350" s="23">
        <f>SUM(G341:G349)/9</f>
        <v>27516.444444444445</v>
      </c>
      <c r="H350" s="23">
        <f>SUM(H341:H349)/9</f>
        <v>421539.77777777775</v>
      </c>
      <c r="I350" s="23">
        <f>SUM(I341:I349)/9</f>
        <v>274.55555555555554</v>
      </c>
      <c r="J350" s="29">
        <f>SUM(H350/E350)</f>
        <v>0.99934910804622046</v>
      </c>
      <c r="K350" s="23">
        <f>SUM(K341:K349)/9</f>
        <v>54.911111111111111</v>
      </c>
      <c r="L350" s="20">
        <f>SUM(L341:L349)/9</f>
        <v>1701.9433333333334</v>
      </c>
      <c r="M350" s="20"/>
    </row>
    <row r="351" spans="2:19" s="24" customFormat="1" ht="18.5" customHeight="1">
      <c r="B351" s="27"/>
      <c r="C351" s="27"/>
      <c r="D351" s="28"/>
      <c r="E351" s="23"/>
      <c r="F351" s="23"/>
      <c r="G351" s="23"/>
      <c r="H351" s="23"/>
      <c r="I351" s="23"/>
      <c r="J351" s="29"/>
      <c r="K351" s="23"/>
      <c r="L351" s="20"/>
      <c r="M351" s="20"/>
    </row>
    <row r="352" spans="2:19" s="25" customFormat="1" ht="45.95" customHeight="1">
      <c r="B352" s="31" t="s">
        <v>1</v>
      </c>
      <c r="C352" s="31" t="s">
        <v>2</v>
      </c>
      <c r="D352" s="38" t="s">
        <v>3</v>
      </c>
      <c r="E352" s="37" t="s">
        <v>4</v>
      </c>
      <c r="F352" s="32" t="s">
        <v>5</v>
      </c>
      <c r="G352" s="32" t="s">
        <v>6</v>
      </c>
      <c r="H352" s="33" t="s">
        <v>7</v>
      </c>
      <c r="I352" s="33" t="s">
        <v>8</v>
      </c>
      <c r="J352" s="34" t="s">
        <v>9</v>
      </c>
      <c r="K352" s="33" t="s">
        <v>10</v>
      </c>
      <c r="L352" s="35" t="s">
        <v>11</v>
      </c>
      <c r="M352" s="36"/>
      <c r="N352" s="39"/>
      <c r="O352" s="40"/>
      <c r="P352" s="41"/>
      <c r="Q352" s="40"/>
      <c r="R352" s="42"/>
      <c r="S352" s="43"/>
    </row>
    <row r="353" spans="2:19" ht="18.5" customHeight="1">
      <c r="B353" s="13">
        <v>524</v>
      </c>
      <c r="C353" s="13" t="s">
        <v>12</v>
      </c>
      <c r="D353" s="14" t="s">
        <v>54</v>
      </c>
      <c r="E353" s="6">
        <v>142955357</v>
      </c>
      <c r="F353" s="5">
        <v>51261800</v>
      </c>
      <c r="G353" s="5">
        <v>90909057</v>
      </c>
      <c r="H353" s="5">
        <f t="shared" ref="H353:H361" si="113">SUM(F353+G353)</f>
        <v>142170857</v>
      </c>
      <c r="I353" s="5">
        <f t="shared" ref="I353:I361" si="114">SUM(E353-H353)</f>
        <v>784500</v>
      </c>
      <c r="J353" s="7">
        <f t="shared" ref="J353:J361" si="115">SUM(H353/E353)</f>
        <v>0.99451227280695753</v>
      </c>
      <c r="K353" s="6">
        <f t="shared" ref="K353:K361" si="116">SUM(I353*0.2)</f>
        <v>156900</v>
      </c>
      <c r="L353" s="19">
        <v>204771.61000000002</v>
      </c>
    </row>
    <row r="354" spans="2:19" ht="18.5" customHeight="1">
      <c r="B354" s="13">
        <v>524</v>
      </c>
      <c r="C354" s="13" t="s">
        <v>14</v>
      </c>
      <c r="D354" s="14" t="s">
        <v>54</v>
      </c>
      <c r="E354" s="6">
        <v>142253857</v>
      </c>
      <c r="F354" s="5">
        <v>51166600</v>
      </c>
      <c r="G354" s="5">
        <v>90793857</v>
      </c>
      <c r="H354" s="5">
        <f t="shared" si="113"/>
        <v>141960457</v>
      </c>
      <c r="I354" s="5">
        <f t="shared" si="114"/>
        <v>293400</v>
      </c>
      <c r="J354" s="7">
        <f t="shared" si="115"/>
        <v>0.99793749001828469</v>
      </c>
      <c r="K354" s="6">
        <f t="shared" si="116"/>
        <v>58680</v>
      </c>
      <c r="L354" s="19">
        <v>197819.54</v>
      </c>
    </row>
    <row r="355" spans="2:19" ht="18.5" customHeight="1">
      <c r="B355" s="13">
        <v>524</v>
      </c>
      <c r="C355" s="13" t="s">
        <v>15</v>
      </c>
      <c r="D355" s="14" t="s">
        <v>54</v>
      </c>
      <c r="E355" s="6">
        <v>134657100</v>
      </c>
      <c r="F355" s="5">
        <v>44714900</v>
      </c>
      <c r="G355" s="5">
        <v>89245300</v>
      </c>
      <c r="H355" s="5">
        <f t="shared" si="113"/>
        <v>133960200</v>
      </c>
      <c r="I355" s="5">
        <f t="shared" si="114"/>
        <v>696900</v>
      </c>
      <c r="J355" s="7">
        <f t="shared" si="115"/>
        <v>0.99482463234393137</v>
      </c>
      <c r="K355" s="6">
        <f t="shared" si="116"/>
        <v>139380</v>
      </c>
      <c r="L355" s="19">
        <v>239134.25</v>
      </c>
    </row>
    <row r="356" spans="2:19" ht="18.5" customHeight="1">
      <c r="B356" s="13">
        <v>524</v>
      </c>
      <c r="C356" s="13" t="s">
        <v>16</v>
      </c>
      <c r="D356" s="14" t="s">
        <v>54</v>
      </c>
      <c r="E356" s="6">
        <v>134657100</v>
      </c>
      <c r="F356" s="5">
        <v>44714900</v>
      </c>
      <c r="G356" s="5">
        <v>89245300</v>
      </c>
      <c r="H356" s="5">
        <f t="shared" si="113"/>
        <v>133960200</v>
      </c>
      <c r="I356" s="5">
        <f t="shared" si="114"/>
        <v>696900</v>
      </c>
      <c r="J356" s="7">
        <f t="shared" si="115"/>
        <v>0.99482463234393137</v>
      </c>
      <c r="K356" s="6">
        <f t="shared" si="116"/>
        <v>139380</v>
      </c>
      <c r="L356" s="19">
        <v>160653.99</v>
      </c>
    </row>
    <row r="357" spans="2:19" ht="18.5" customHeight="1">
      <c r="B357" s="13">
        <v>524</v>
      </c>
      <c r="C357" s="13" t="s">
        <v>17</v>
      </c>
      <c r="D357" s="14" t="s">
        <v>54</v>
      </c>
      <c r="E357" s="6">
        <v>60552200</v>
      </c>
      <c r="F357" s="5">
        <v>43084500</v>
      </c>
      <c r="G357" s="5">
        <v>16802100</v>
      </c>
      <c r="H357" s="5">
        <f t="shared" si="113"/>
        <v>59886600</v>
      </c>
      <c r="I357" s="5">
        <f t="shared" si="114"/>
        <v>665600</v>
      </c>
      <c r="J357" s="7">
        <f t="shared" si="115"/>
        <v>0.98900783125964042</v>
      </c>
      <c r="K357" s="6">
        <f t="shared" si="116"/>
        <v>133120</v>
      </c>
      <c r="L357" s="19">
        <v>128657</v>
      </c>
    </row>
    <row r="358" spans="2:19" ht="18.5" customHeight="1">
      <c r="B358" s="13">
        <v>524</v>
      </c>
      <c r="C358" s="13" t="s">
        <v>18</v>
      </c>
      <c r="D358" s="14" t="s">
        <v>54</v>
      </c>
      <c r="E358" s="6">
        <v>56812702</v>
      </c>
      <c r="F358" s="5">
        <v>43343437</v>
      </c>
      <c r="G358" s="5">
        <v>12712802</v>
      </c>
      <c r="H358" s="5">
        <f t="shared" si="113"/>
        <v>56056239</v>
      </c>
      <c r="I358" s="5">
        <f t="shared" si="114"/>
        <v>756463</v>
      </c>
      <c r="J358" s="7">
        <f t="shared" si="115"/>
        <v>0.98668496703430864</v>
      </c>
      <c r="K358" s="6">
        <f t="shared" si="116"/>
        <v>151292.6</v>
      </c>
      <c r="L358" s="19">
        <v>147218</v>
      </c>
    </row>
    <row r="359" spans="2:19" ht="18.5" customHeight="1">
      <c r="B359" s="13">
        <v>524</v>
      </c>
      <c r="C359" s="13" t="s">
        <v>19</v>
      </c>
      <c r="D359" s="14" t="s">
        <v>54</v>
      </c>
      <c r="E359" s="11">
        <v>55063280</v>
      </c>
      <c r="F359" s="8">
        <v>47452650</v>
      </c>
      <c r="G359" s="8">
        <v>6943740</v>
      </c>
      <c r="H359" s="5">
        <f t="shared" si="113"/>
        <v>54396390</v>
      </c>
      <c r="I359" s="5">
        <f t="shared" si="114"/>
        <v>666890</v>
      </c>
      <c r="J359" s="7">
        <f t="shared" si="115"/>
        <v>0.9878886619177063</v>
      </c>
      <c r="K359" s="6">
        <f t="shared" si="116"/>
        <v>133378</v>
      </c>
      <c r="L359" s="4">
        <v>156021</v>
      </c>
      <c r="M359" s="4"/>
    </row>
    <row r="360" spans="2:19" ht="18.5" customHeight="1">
      <c r="B360" s="13">
        <v>524</v>
      </c>
      <c r="C360" s="13" t="s">
        <v>20</v>
      </c>
      <c r="D360" s="14" t="s">
        <v>54</v>
      </c>
      <c r="E360" s="11">
        <v>56245500</v>
      </c>
      <c r="F360" s="8">
        <v>45392500</v>
      </c>
      <c r="G360" s="8">
        <v>10232100</v>
      </c>
      <c r="H360" s="5">
        <f t="shared" si="113"/>
        <v>55624600</v>
      </c>
      <c r="I360" s="5">
        <f t="shared" si="114"/>
        <v>620900</v>
      </c>
      <c r="J360" s="7">
        <f t="shared" si="115"/>
        <v>0.98896089464934978</v>
      </c>
      <c r="K360" s="6">
        <f t="shared" si="116"/>
        <v>124180</v>
      </c>
      <c r="L360" s="19">
        <v>151626.13999999998</v>
      </c>
    </row>
    <row r="361" spans="2:19" ht="18.5" customHeight="1">
      <c r="B361" s="13">
        <v>524</v>
      </c>
      <c r="C361" s="13" t="s">
        <v>21</v>
      </c>
      <c r="D361" s="14" t="s">
        <v>54</v>
      </c>
      <c r="E361" s="5">
        <v>40930165.699999988</v>
      </c>
      <c r="F361" s="5">
        <v>38527634.829999998</v>
      </c>
      <c r="G361" s="5">
        <v>2081095.6400000001</v>
      </c>
      <c r="H361" s="5">
        <f t="shared" si="113"/>
        <v>40608730.469999999</v>
      </c>
      <c r="I361" s="5">
        <f t="shared" si="114"/>
        <v>321435.22999998927</v>
      </c>
      <c r="J361" s="7">
        <f t="shared" si="115"/>
        <v>0.99214674007537695</v>
      </c>
      <c r="K361" s="6">
        <f t="shared" si="116"/>
        <v>64287.045999997856</v>
      </c>
      <c r="L361" s="19">
        <v>136399.25</v>
      </c>
    </row>
    <row r="362" spans="2:19" s="24" customFormat="1" ht="18.5" customHeight="1">
      <c r="B362" s="27"/>
      <c r="C362" s="27"/>
      <c r="D362" s="28" t="s">
        <v>22</v>
      </c>
      <c r="E362" s="23">
        <f>SUM(E353:E361)/9</f>
        <v>91569695.744444445</v>
      </c>
      <c r="F362" s="23">
        <f>SUM(F353:F361)/9</f>
        <v>45517657.981111109</v>
      </c>
      <c r="G362" s="23">
        <f>SUM(G353:G361)/9</f>
        <v>45440594.626666665</v>
      </c>
      <c r="H362" s="23">
        <f>SUM(H353:H361)/9</f>
        <v>90958252.607777774</v>
      </c>
      <c r="I362" s="23">
        <f>SUM(I353:I361)/9</f>
        <v>611443.13666666544</v>
      </c>
      <c r="J362" s="29">
        <f>SUM(H362/E362)</f>
        <v>0.99332264750149324</v>
      </c>
      <c r="K362" s="23">
        <f>SUM(K353:K361)/9</f>
        <v>122288.62733333309</v>
      </c>
      <c r="L362" s="20">
        <f>SUM(L353:L361)/9</f>
        <v>169144.53111111111</v>
      </c>
      <c r="M362" s="20"/>
    </row>
    <row r="363" spans="2:19" s="24" customFormat="1" ht="18.5" customHeight="1">
      <c r="B363" s="27"/>
      <c r="C363" s="27"/>
      <c r="D363" s="28"/>
      <c r="E363" s="23"/>
      <c r="F363" s="23"/>
      <c r="G363" s="23"/>
      <c r="H363" s="23"/>
      <c r="I363" s="23"/>
      <c r="J363" s="29"/>
      <c r="K363" s="23"/>
      <c r="L363" s="20"/>
      <c r="M363" s="20"/>
    </row>
    <row r="364" spans="2:19" s="25" customFormat="1" ht="45.95" customHeight="1">
      <c r="B364" s="31" t="s">
        <v>1</v>
      </c>
      <c r="C364" s="31" t="s">
        <v>2</v>
      </c>
      <c r="D364" s="38" t="s">
        <v>3</v>
      </c>
      <c r="E364" s="37" t="s">
        <v>4</v>
      </c>
      <c r="F364" s="32" t="s">
        <v>5</v>
      </c>
      <c r="G364" s="32" t="s">
        <v>6</v>
      </c>
      <c r="H364" s="33" t="s">
        <v>7</v>
      </c>
      <c r="I364" s="33" t="s">
        <v>8</v>
      </c>
      <c r="J364" s="34" t="s">
        <v>9</v>
      </c>
      <c r="K364" s="33" t="s">
        <v>10</v>
      </c>
      <c r="L364" s="35" t="s">
        <v>11</v>
      </c>
      <c r="M364" s="36"/>
      <c r="N364" s="39"/>
      <c r="O364" s="40"/>
      <c r="P364" s="41"/>
      <c r="Q364" s="40"/>
      <c r="R364" s="42"/>
      <c r="S364" s="43"/>
    </row>
    <row r="365" spans="2:19" ht="18.5" customHeight="1">
      <c r="B365" s="13">
        <v>528</v>
      </c>
      <c r="C365" s="13" t="s">
        <v>12</v>
      </c>
      <c r="D365" s="14" t="s">
        <v>55</v>
      </c>
      <c r="E365" s="6">
        <v>43429080</v>
      </c>
      <c r="F365" s="5">
        <v>42904975</v>
      </c>
      <c r="G365" s="5">
        <v>45005</v>
      </c>
      <c r="H365" s="5">
        <f t="shared" ref="H365:H373" si="117">SUM(F365+G365)</f>
        <v>42949980</v>
      </c>
      <c r="I365" s="5">
        <f t="shared" ref="I365:I373" si="118">SUM(E365-H365)</f>
        <v>479100</v>
      </c>
      <c r="J365" s="7">
        <f t="shared" ref="J365:J373" si="119">SUM(H365/E365)</f>
        <v>0.98896822129319806</v>
      </c>
      <c r="K365" s="6">
        <f t="shared" ref="K365:K373" si="120">SUM(I365*0.2)</f>
        <v>95820</v>
      </c>
      <c r="L365" s="19">
        <v>172247.74</v>
      </c>
    </row>
    <row r="366" spans="2:19" ht="18.5" customHeight="1">
      <c r="B366" s="13">
        <v>528</v>
      </c>
      <c r="C366" s="13" t="s">
        <v>14</v>
      </c>
      <c r="D366" s="14" t="s">
        <v>55</v>
      </c>
      <c r="E366" s="6">
        <v>39429080</v>
      </c>
      <c r="F366" s="5">
        <v>38904975</v>
      </c>
      <c r="G366" s="5">
        <v>45005</v>
      </c>
      <c r="H366" s="5">
        <f t="shared" si="117"/>
        <v>38949980</v>
      </c>
      <c r="I366" s="5">
        <f t="shared" si="118"/>
        <v>479100</v>
      </c>
      <c r="J366" s="7">
        <f t="shared" si="119"/>
        <v>0.98784906977286813</v>
      </c>
      <c r="K366" s="6">
        <f t="shared" si="120"/>
        <v>95820</v>
      </c>
      <c r="L366" s="19">
        <v>10987.990000000002</v>
      </c>
    </row>
    <row r="367" spans="2:19" ht="18.5" customHeight="1">
      <c r="B367" s="13">
        <v>528</v>
      </c>
      <c r="C367" s="13" t="s">
        <v>15</v>
      </c>
      <c r="D367" s="14" t="s">
        <v>55</v>
      </c>
      <c r="E367" s="6">
        <v>27979050</v>
      </c>
      <c r="F367" s="5">
        <v>27906750</v>
      </c>
      <c r="G367" s="5">
        <v>45000</v>
      </c>
      <c r="H367" s="5">
        <f t="shared" si="117"/>
        <v>27951750</v>
      </c>
      <c r="I367" s="5">
        <f t="shared" si="118"/>
        <v>27300</v>
      </c>
      <c r="J367" s="7">
        <f t="shared" si="119"/>
        <v>0.99902426994483373</v>
      </c>
      <c r="K367" s="6">
        <f t="shared" si="120"/>
        <v>5460</v>
      </c>
      <c r="L367" s="19">
        <v>10243.93</v>
      </c>
    </row>
    <row r="368" spans="2:19" ht="18.5" customHeight="1">
      <c r="B368" s="13">
        <v>528</v>
      </c>
      <c r="C368" s="13" t="s">
        <v>16</v>
      </c>
      <c r="D368" s="14" t="s">
        <v>55</v>
      </c>
      <c r="E368" s="6">
        <v>25979050</v>
      </c>
      <c r="F368" s="5">
        <v>25904950</v>
      </c>
      <c r="G368" s="5">
        <v>45000</v>
      </c>
      <c r="H368" s="5">
        <f t="shared" si="117"/>
        <v>25949950</v>
      </c>
      <c r="I368" s="5">
        <f t="shared" si="118"/>
        <v>29100</v>
      </c>
      <c r="J368" s="7">
        <f t="shared" si="119"/>
        <v>0.99887986666179096</v>
      </c>
      <c r="K368" s="6">
        <f t="shared" si="120"/>
        <v>5820</v>
      </c>
      <c r="L368" s="19">
        <v>5960.0499999999993</v>
      </c>
    </row>
    <row r="369" spans="2:19" ht="18.5" customHeight="1">
      <c r="B369" s="13">
        <v>528</v>
      </c>
      <c r="C369" s="13" t="s">
        <v>17</v>
      </c>
      <c r="D369" s="14" t="s">
        <v>55</v>
      </c>
      <c r="E369" s="6">
        <v>25979050</v>
      </c>
      <c r="F369" s="5">
        <v>25904950</v>
      </c>
      <c r="G369" s="5">
        <v>45000</v>
      </c>
      <c r="H369" s="5">
        <f t="shared" si="117"/>
        <v>25949950</v>
      </c>
      <c r="I369" s="5">
        <f t="shared" si="118"/>
        <v>29100</v>
      </c>
      <c r="J369" s="7">
        <f t="shared" si="119"/>
        <v>0.99887986666179096</v>
      </c>
      <c r="K369" s="6">
        <f t="shared" si="120"/>
        <v>5820</v>
      </c>
      <c r="L369" s="19">
        <v>11022</v>
      </c>
    </row>
    <row r="370" spans="2:19" ht="18.5" customHeight="1">
      <c r="B370" s="13">
        <v>528</v>
      </c>
      <c r="C370" s="13" t="s">
        <v>18</v>
      </c>
      <c r="D370" s="14" t="s">
        <v>55</v>
      </c>
      <c r="E370" s="6">
        <v>26881800</v>
      </c>
      <c r="F370" s="5">
        <v>26703800</v>
      </c>
      <c r="G370" s="5">
        <v>138600</v>
      </c>
      <c r="H370" s="5">
        <f t="shared" si="117"/>
        <v>26842400</v>
      </c>
      <c r="I370" s="5">
        <f t="shared" si="118"/>
        <v>39400</v>
      </c>
      <c r="J370" s="7">
        <f t="shared" si="119"/>
        <v>0.99853432433839995</v>
      </c>
      <c r="K370" s="6">
        <f t="shared" si="120"/>
        <v>7880</v>
      </c>
      <c r="L370" s="19">
        <v>0</v>
      </c>
    </row>
    <row r="371" spans="2:19" ht="18.5" customHeight="1">
      <c r="B371" s="13">
        <v>528</v>
      </c>
      <c r="C371" s="13" t="s">
        <v>19</v>
      </c>
      <c r="D371" s="14" t="s">
        <v>55</v>
      </c>
      <c r="E371" s="8">
        <v>26124500</v>
      </c>
      <c r="F371" s="8">
        <v>26050395</v>
      </c>
      <c r="G371" s="8">
        <v>53355</v>
      </c>
      <c r="H371" s="5">
        <f t="shared" si="117"/>
        <v>26103750</v>
      </c>
      <c r="I371" s="5">
        <f t="shared" si="118"/>
        <v>20750</v>
      </c>
      <c r="J371" s="7">
        <f t="shared" si="119"/>
        <v>0.99920572642538619</v>
      </c>
      <c r="K371" s="6">
        <f t="shared" si="120"/>
        <v>4150</v>
      </c>
      <c r="L371" s="4">
        <v>1654</v>
      </c>
      <c r="M371" s="4"/>
    </row>
    <row r="372" spans="2:19" ht="18.5" customHeight="1">
      <c r="B372" s="13">
        <v>528</v>
      </c>
      <c r="C372" s="13" t="s">
        <v>20</v>
      </c>
      <c r="D372" s="14" t="s">
        <v>55</v>
      </c>
      <c r="E372" s="8">
        <v>30319100</v>
      </c>
      <c r="F372" s="8">
        <v>30244995</v>
      </c>
      <c r="G372" s="8">
        <v>61755</v>
      </c>
      <c r="H372" s="5">
        <f t="shared" si="117"/>
        <v>30306750</v>
      </c>
      <c r="I372" s="5">
        <f t="shared" si="118"/>
        <v>12350</v>
      </c>
      <c r="J372" s="7">
        <f t="shared" si="119"/>
        <v>0.99959266600921526</v>
      </c>
      <c r="K372" s="6">
        <f t="shared" si="120"/>
        <v>2470</v>
      </c>
      <c r="L372" s="19">
        <v>282.5</v>
      </c>
    </row>
    <row r="373" spans="2:19" ht="18.5" customHeight="1">
      <c r="B373" s="13">
        <v>528</v>
      </c>
      <c r="C373" s="13" t="s">
        <v>21</v>
      </c>
      <c r="D373" s="14" t="s">
        <v>55</v>
      </c>
      <c r="E373" s="5">
        <v>30319100</v>
      </c>
      <c r="F373" s="5">
        <v>30244995</v>
      </c>
      <c r="G373" s="5">
        <v>61755</v>
      </c>
      <c r="H373" s="5">
        <f t="shared" si="117"/>
        <v>30306750</v>
      </c>
      <c r="I373" s="5">
        <f t="shared" si="118"/>
        <v>12350</v>
      </c>
      <c r="J373" s="7">
        <f t="shared" si="119"/>
        <v>0.99959266600921526</v>
      </c>
      <c r="K373" s="6">
        <f t="shared" si="120"/>
        <v>2470</v>
      </c>
      <c r="L373" s="19">
        <v>2330.46</v>
      </c>
    </row>
    <row r="374" spans="2:19" s="24" customFormat="1" ht="18.5" customHeight="1">
      <c r="B374" s="27"/>
      <c r="C374" s="27"/>
      <c r="D374" s="28" t="s">
        <v>22</v>
      </c>
      <c r="E374" s="23">
        <f>SUM(E365:E373)/9</f>
        <v>30715534.444444444</v>
      </c>
      <c r="F374" s="23">
        <f>SUM(F365:F373)/9</f>
        <v>30530087.222222224</v>
      </c>
      <c r="G374" s="23">
        <f>SUM(G365:G373)/9</f>
        <v>60052.777777777781</v>
      </c>
      <c r="H374" s="23">
        <f>SUM(H365:H373)/9</f>
        <v>30590140</v>
      </c>
      <c r="I374" s="23">
        <f>SUM(I365:I373)/9</f>
        <v>125394.44444444444</v>
      </c>
      <c r="J374" s="29">
        <f>SUM(H374/E374)</f>
        <v>0.99591755615806565</v>
      </c>
      <c r="K374" s="23">
        <f>SUM(K365:K373)/9</f>
        <v>25078.888888888891</v>
      </c>
      <c r="L374" s="20">
        <f>SUM(L365:L373)/9</f>
        <v>23858.741111111107</v>
      </c>
      <c r="M374" s="20"/>
    </row>
    <row r="375" spans="2:19" s="24" customFormat="1" ht="18.5" customHeight="1">
      <c r="B375" s="27"/>
      <c r="C375" s="27"/>
      <c r="D375" s="28"/>
      <c r="E375" s="23"/>
      <c r="F375" s="23"/>
      <c r="G375" s="23"/>
      <c r="H375" s="23"/>
      <c r="I375" s="23"/>
      <c r="J375" s="29"/>
      <c r="K375" s="23"/>
      <c r="L375" s="20"/>
      <c r="M375" s="20"/>
    </row>
    <row r="376" spans="2:19" s="25" customFormat="1" ht="45.95" customHeight="1">
      <c r="B376" s="31" t="s">
        <v>1</v>
      </c>
      <c r="C376" s="31" t="s">
        <v>2</v>
      </c>
      <c r="D376" s="38" t="s">
        <v>3</v>
      </c>
      <c r="E376" s="37" t="s">
        <v>4</v>
      </c>
      <c r="F376" s="32" t="s">
        <v>5</v>
      </c>
      <c r="G376" s="32" t="s">
        <v>6</v>
      </c>
      <c r="H376" s="33" t="s">
        <v>7</v>
      </c>
      <c r="I376" s="33" t="s">
        <v>8</v>
      </c>
      <c r="J376" s="34" t="s">
        <v>9</v>
      </c>
      <c r="K376" s="33" t="s">
        <v>10</v>
      </c>
      <c r="L376" s="35" t="s">
        <v>11</v>
      </c>
      <c r="M376" s="36"/>
      <c r="N376" s="39"/>
      <c r="O376" s="40"/>
      <c r="P376" s="41"/>
      <c r="Q376" s="40"/>
      <c r="R376" s="42"/>
      <c r="S376" s="43"/>
    </row>
    <row r="377" spans="2:19" ht="18.5" customHeight="1">
      <c r="B377" s="13">
        <v>532</v>
      </c>
      <c r="C377" s="13" t="s">
        <v>12</v>
      </c>
      <c r="D377" s="14" t="s">
        <v>56</v>
      </c>
      <c r="E377" s="6">
        <v>289149100</v>
      </c>
      <c r="F377" s="5">
        <v>149492300</v>
      </c>
      <c r="G377" s="5">
        <v>125331206</v>
      </c>
      <c r="H377" s="5">
        <f t="shared" ref="H377:H385" si="121">SUM(F377+G377)</f>
        <v>274823506</v>
      </c>
      <c r="I377" s="5">
        <f t="shared" ref="I377:I385" si="122">SUM(E377-H377)</f>
        <v>14325594</v>
      </c>
      <c r="J377" s="7">
        <f t="shared" ref="J377:J385" si="123">SUM(H377/E377)</f>
        <v>0.95045603116177779</v>
      </c>
      <c r="K377" s="6">
        <f t="shared" ref="K377:K385" si="124">SUM(I377*0.2)</f>
        <v>2865118.8000000003</v>
      </c>
      <c r="L377" s="19">
        <v>2152965.5499999998</v>
      </c>
    </row>
    <row r="378" spans="2:19" ht="18.5" customHeight="1">
      <c r="B378" s="13">
        <v>532</v>
      </c>
      <c r="C378" s="13" t="s">
        <v>14</v>
      </c>
      <c r="D378" s="14" t="s">
        <v>56</v>
      </c>
      <c r="E378" s="6">
        <v>297178700</v>
      </c>
      <c r="F378" s="5">
        <v>166583900</v>
      </c>
      <c r="G378" s="5">
        <v>115875000</v>
      </c>
      <c r="H378" s="5">
        <f t="shared" si="121"/>
        <v>282458900</v>
      </c>
      <c r="I378" s="5">
        <f t="shared" si="122"/>
        <v>14719800</v>
      </c>
      <c r="J378" s="7">
        <f t="shared" si="123"/>
        <v>0.95046818631348751</v>
      </c>
      <c r="K378" s="6">
        <f t="shared" si="124"/>
        <v>2943960</v>
      </c>
      <c r="L378" s="19">
        <v>2314197.88</v>
      </c>
    </row>
    <row r="379" spans="2:19" ht="18.5" customHeight="1">
      <c r="B379" s="13">
        <v>532</v>
      </c>
      <c r="C379" s="13" t="s">
        <v>15</v>
      </c>
      <c r="D379" s="14" t="s">
        <v>56</v>
      </c>
      <c r="E379" s="6">
        <v>304609900</v>
      </c>
      <c r="F379" s="5">
        <v>164194500</v>
      </c>
      <c r="G379" s="5">
        <v>125066500</v>
      </c>
      <c r="H379" s="5">
        <f t="shared" si="121"/>
        <v>289261000</v>
      </c>
      <c r="I379" s="5">
        <f t="shared" si="122"/>
        <v>15348900</v>
      </c>
      <c r="J379" s="7">
        <f t="shared" si="123"/>
        <v>0.94961128971842346</v>
      </c>
      <c r="K379" s="6">
        <f t="shared" si="124"/>
        <v>3069780</v>
      </c>
      <c r="L379" s="19">
        <v>3141611.4799999995</v>
      </c>
    </row>
    <row r="380" spans="2:19" ht="18.5" customHeight="1">
      <c r="B380" s="13">
        <v>532</v>
      </c>
      <c r="C380" s="13" t="s">
        <v>16</v>
      </c>
      <c r="D380" s="14" t="s">
        <v>56</v>
      </c>
      <c r="E380" s="6">
        <v>307890591.18000001</v>
      </c>
      <c r="F380" s="5">
        <v>153624791</v>
      </c>
      <c r="G380" s="5">
        <v>139922448</v>
      </c>
      <c r="H380" s="5">
        <f t="shared" si="121"/>
        <v>293547239</v>
      </c>
      <c r="I380" s="5">
        <f t="shared" si="122"/>
        <v>14343352.180000007</v>
      </c>
      <c r="J380" s="7">
        <f t="shared" si="123"/>
        <v>0.95341412634589229</v>
      </c>
      <c r="K380" s="6">
        <f t="shared" si="124"/>
        <v>2868670.4360000016</v>
      </c>
      <c r="L380" s="19">
        <v>2511265.2799999998</v>
      </c>
    </row>
    <row r="381" spans="2:19" ht="18.5" customHeight="1">
      <c r="B381" s="13">
        <v>532</v>
      </c>
      <c r="C381" s="13" t="s">
        <v>17</v>
      </c>
      <c r="D381" s="14" t="s">
        <v>56</v>
      </c>
      <c r="E381" s="6">
        <v>349300800</v>
      </c>
      <c r="F381" s="5">
        <v>178330400</v>
      </c>
      <c r="G381" s="5">
        <v>156280933</v>
      </c>
      <c r="H381" s="5">
        <f t="shared" si="121"/>
        <v>334611333</v>
      </c>
      <c r="I381" s="5">
        <f t="shared" si="122"/>
        <v>14689467</v>
      </c>
      <c r="J381" s="7">
        <f t="shared" si="123"/>
        <v>0.9579460825741023</v>
      </c>
      <c r="K381" s="6">
        <f t="shared" si="124"/>
        <v>2937893.4000000004</v>
      </c>
      <c r="L381" s="19">
        <v>2017333</v>
      </c>
    </row>
    <row r="382" spans="2:19" ht="18.5" customHeight="1">
      <c r="B382" s="13">
        <v>532</v>
      </c>
      <c r="C382" s="13" t="s">
        <v>18</v>
      </c>
      <c r="D382" s="14" t="s">
        <v>56</v>
      </c>
      <c r="E382" s="6">
        <v>372175900</v>
      </c>
      <c r="F382" s="5">
        <v>112363108</v>
      </c>
      <c r="G382" s="5">
        <v>212082752</v>
      </c>
      <c r="H382" s="5">
        <f t="shared" si="121"/>
        <v>324445860</v>
      </c>
      <c r="I382" s="5">
        <f t="shared" si="122"/>
        <v>47730040</v>
      </c>
      <c r="J382" s="7">
        <f t="shared" si="123"/>
        <v>0.87175408187365167</v>
      </c>
      <c r="K382" s="6">
        <f t="shared" si="124"/>
        <v>9546008</v>
      </c>
      <c r="L382" s="19">
        <v>1820323</v>
      </c>
    </row>
    <row r="383" spans="2:19" ht="18.5" customHeight="1">
      <c r="B383" s="13">
        <v>532</v>
      </c>
      <c r="C383" s="13" t="s">
        <v>19</v>
      </c>
      <c r="D383" s="14" t="s">
        <v>56</v>
      </c>
      <c r="E383" s="8">
        <v>381651500</v>
      </c>
      <c r="F383" s="8">
        <v>106391500</v>
      </c>
      <c r="G383" s="8">
        <v>260048000</v>
      </c>
      <c r="H383" s="5">
        <f t="shared" si="121"/>
        <v>366439500</v>
      </c>
      <c r="I383" s="5">
        <f t="shared" si="122"/>
        <v>15212000</v>
      </c>
      <c r="J383" s="7">
        <f t="shared" si="123"/>
        <v>0.96014164755018649</v>
      </c>
      <c r="K383" s="6">
        <f t="shared" si="124"/>
        <v>3042400</v>
      </c>
      <c r="L383" s="4">
        <v>2763151</v>
      </c>
      <c r="M383" s="4"/>
    </row>
    <row r="384" spans="2:19" ht="18.5" customHeight="1">
      <c r="B384" s="13">
        <v>532</v>
      </c>
      <c r="C384" s="13" t="s">
        <v>20</v>
      </c>
      <c r="D384" s="14" t="s">
        <v>56</v>
      </c>
      <c r="E384" s="8">
        <v>2769717522</v>
      </c>
      <c r="F384" s="8">
        <v>2706207201</v>
      </c>
      <c r="G384" s="8">
        <v>27967600</v>
      </c>
      <c r="H384" s="5">
        <f t="shared" si="121"/>
        <v>2734174801</v>
      </c>
      <c r="I384" s="5">
        <f t="shared" si="122"/>
        <v>35542721</v>
      </c>
      <c r="J384" s="7">
        <f t="shared" si="123"/>
        <v>0.98716738414019389</v>
      </c>
      <c r="K384" s="6">
        <f t="shared" si="124"/>
        <v>7108544.2000000002</v>
      </c>
      <c r="L384" s="19">
        <v>1248985.2000000002</v>
      </c>
    </row>
    <row r="385" spans="2:19" ht="18.5" customHeight="1">
      <c r="B385" s="13">
        <v>532</v>
      </c>
      <c r="C385" s="13" t="s">
        <v>21</v>
      </c>
      <c r="D385" s="14" t="s">
        <v>56</v>
      </c>
      <c r="E385" s="5">
        <v>306179700</v>
      </c>
      <c r="F385" s="5">
        <v>239761750</v>
      </c>
      <c r="G385" s="5">
        <v>0</v>
      </c>
      <c r="H385" s="5">
        <f t="shared" si="121"/>
        <v>239761750</v>
      </c>
      <c r="I385" s="5">
        <f t="shared" si="122"/>
        <v>66417950</v>
      </c>
      <c r="J385" s="7">
        <f t="shared" si="123"/>
        <v>0.78307526593043231</v>
      </c>
      <c r="K385" s="6">
        <f t="shared" si="124"/>
        <v>13283590</v>
      </c>
      <c r="L385" s="19">
        <v>1661013.6900000002</v>
      </c>
    </row>
    <row r="386" spans="2:19" s="24" customFormat="1" ht="18.5" customHeight="1">
      <c r="B386" s="27"/>
      <c r="C386" s="27"/>
      <c r="D386" s="28" t="s">
        <v>22</v>
      </c>
      <c r="E386" s="23">
        <f>SUM(E377:E385)/9</f>
        <v>597539301.46444452</v>
      </c>
      <c r="F386" s="23">
        <f>SUM(F377:F385)/9</f>
        <v>441883272.22222221</v>
      </c>
      <c r="G386" s="23">
        <f>SUM(G377:G385)/9</f>
        <v>129174937.66666667</v>
      </c>
      <c r="H386" s="23">
        <f>SUM(H377:H385)/9</f>
        <v>571058209.88888884</v>
      </c>
      <c r="I386" s="23">
        <f>SUM(I377:I385)/9</f>
        <v>26481091.575555556</v>
      </c>
      <c r="J386" s="29">
        <f>SUM(H386/E386)</f>
        <v>0.95568309647473226</v>
      </c>
      <c r="K386" s="23">
        <f>SUM(K377:K385)/9</f>
        <v>5296218.3151111118</v>
      </c>
      <c r="L386" s="20">
        <f>SUM(L377:L385)/9</f>
        <v>2181205.12</v>
      </c>
      <c r="M386" s="20"/>
    </row>
    <row r="387" spans="2:19" s="24" customFormat="1" ht="18.5" customHeight="1">
      <c r="B387" s="27"/>
      <c r="C387" s="27"/>
      <c r="D387" s="28"/>
      <c r="E387" s="23"/>
      <c r="F387" s="23"/>
      <c r="G387" s="23"/>
      <c r="H387" s="23"/>
      <c r="I387" s="23"/>
      <c r="J387" s="29"/>
      <c r="K387" s="23"/>
      <c r="L387" s="20"/>
      <c r="M387" s="20"/>
    </row>
    <row r="388" spans="2:19" s="25" customFormat="1" ht="45.95" customHeight="1">
      <c r="B388" s="31" t="s">
        <v>1</v>
      </c>
      <c r="C388" s="31" t="s">
        <v>2</v>
      </c>
      <c r="D388" s="38" t="s">
        <v>3</v>
      </c>
      <c r="E388" s="37" t="s">
        <v>4</v>
      </c>
      <c r="F388" s="32" t="s">
        <v>5</v>
      </c>
      <c r="G388" s="32" t="s">
        <v>6</v>
      </c>
      <c r="H388" s="33" t="s">
        <v>7</v>
      </c>
      <c r="I388" s="33" t="s">
        <v>8</v>
      </c>
      <c r="J388" s="34" t="s">
        <v>9</v>
      </c>
      <c r="K388" s="33" t="s">
        <v>10</v>
      </c>
      <c r="L388" s="35" t="s">
        <v>11</v>
      </c>
      <c r="M388" s="36"/>
      <c r="N388" s="39"/>
      <c r="O388" s="40"/>
      <c r="P388" s="41"/>
      <c r="Q388" s="40"/>
      <c r="R388" s="42"/>
      <c r="S388" s="43"/>
    </row>
    <row r="389" spans="2:19" ht="18.5" customHeight="1">
      <c r="B389" s="13">
        <v>537</v>
      </c>
      <c r="C389" s="13" t="s">
        <v>12</v>
      </c>
      <c r="D389" s="14" t="s">
        <v>57</v>
      </c>
      <c r="E389" s="6">
        <v>9944500</v>
      </c>
      <c r="F389" s="5">
        <v>9098829</v>
      </c>
      <c r="G389" s="5">
        <v>844471</v>
      </c>
      <c r="H389" s="5">
        <f t="shared" ref="H389:H397" si="125">SUM(F389+G389)</f>
        <v>9943300</v>
      </c>
      <c r="I389" s="5">
        <f t="shared" ref="I389:I397" si="126">SUM(E389-H389)</f>
        <v>1200</v>
      </c>
      <c r="J389" s="7">
        <f t="shared" ref="J389:J397" si="127">SUM(H389/E389)</f>
        <v>0.99987933028307108</v>
      </c>
      <c r="K389" s="6">
        <f t="shared" ref="K389:K397" si="128">SUM(I389*0.2)</f>
        <v>240</v>
      </c>
      <c r="L389" s="19">
        <v>27051.09</v>
      </c>
    </row>
    <row r="390" spans="2:19" ht="18.5" customHeight="1">
      <c r="B390" s="13">
        <v>537</v>
      </c>
      <c r="C390" s="13" t="s">
        <v>14</v>
      </c>
      <c r="D390" s="14" t="s">
        <v>57</v>
      </c>
      <c r="E390" s="6">
        <v>10501250</v>
      </c>
      <c r="F390" s="5">
        <v>9544250</v>
      </c>
      <c r="G390" s="5">
        <v>938978</v>
      </c>
      <c r="H390" s="5">
        <f t="shared" si="125"/>
        <v>10483228</v>
      </c>
      <c r="I390" s="5">
        <f t="shared" si="126"/>
        <v>18022</v>
      </c>
      <c r="J390" s="7">
        <f t="shared" si="127"/>
        <v>0.99828382335436261</v>
      </c>
      <c r="K390" s="6">
        <f t="shared" si="128"/>
        <v>3604.4</v>
      </c>
      <c r="L390" s="19">
        <v>30413.61</v>
      </c>
    </row>
    <row r="391" spans="2:19" ht="18.5" customHeight="1">
      <c r="B391" s="13">
        <v>537</v>
      </c>
      <c r="C391" s="13" t="s">
        <v>15</v>
      </c>
      <c r="D391" s="14" t="s">
        <v>57</v>
      </c>
      <c r="E391" s="6">
        <v>10405652</v>
      </c>
      <c r="F391" s="5">
        <v>9991000</v>
      </c>
      <c r="G391" s="5">
        <v>374752</v>
      </c>
      <c r="H391" s="5">
        <f t="shared" si="125"/>
        <v>10365752</v>
      </c>
      <c r="I391" s="5">
        <f t="shared" si="126"/>
        <v>39900</v>
      </c>
      <c r="J391" s="7">
        <f t="shared" si="127"/>
        <v>0.99616554541704838</v>
      </c>
      <c r="K391" s="6">
        <f t="shared" si="128"/>
        <v>7980</v>
      </c>
      <c r="L391" s="19">
        <v>24132.99</v>
      </c>
    </row>
    <row r="392" spans="2:19" ht="18.5" customHeight="1">
      <c r="B392" s="13">
        <v>537</v>
      </c>
      <c r="C392" s="13" t="s">
        <v>16</v>
      </c>
      <c r="D392" s="14" t="s">
        <v>57</v>
      </c>
      <c r="E392" s="6">
        <v>11300000</v>
      </c>
      <c r="F392" s="5">
        <v>10001900</v>
      </c>
      <c r="G392" s="5">
        <v>673813</v>
      </c>
      <c r="H392" s="5">
        <f t="shared" si="125"/>
        <v>10675713</v>
      </c>
      <c r="I392" s="5">
        <f t="shared" si="126"/>
        <v>624287</v>
      </c>
      <c r="J392" s="7">
        <f t="shared" si="127"/>
        <v>0.9447533628318584</v>
      </c>
      <c r="K392" s="6">
        <f t="shared" si="128"/>
        <v>124857.40000000001</v>
      </c>
      <c r="L392" s="19">
        <v>42198.249999999993</v>
      </c>
    </row>
    <row r="393" spans="2:19" ht="18.5" customHeight="1">
      <c r="B393" s="13">
        <v>537</v>
      </c>
      <c r="C393" s="13" t="s">
        <v>17</v>
      </c>
      <c r="D393" s="14" t="s">
        <v>57</v>
      </c>
      <c r="E393" s="6">
        <v>11300000</v>
      </c>
      <c r="F393" s="5">
        <v>10001900</v>
      </c>
      <c r="G393" s="5">
        <v>673813</v>
      </c>
      <c r="H393" s="5">
        <f t="shared" si="125"/>
        <v>10675713</v>
      </c>
      <c r="I393" s="5">
        <f t="shared" si="126"/>
        <v>624287</v>
      </c>
      <c r="J393" s="7">
        <f t="shared" si="127"/>
        <v>0.9447533628318584</v>
      </c>
      <c r="K393" s="6">
        <f t="shared" si="128"/>
        <v>124857.40000000001</v>
      </c>
      <c r="L393" s="19">
        <v>25537</v>
      </c>
    </row>
    <row r="394" spans="2:19" ht="18.5" customHeight="1">
      <c r="B394" s="13">
        <v>537</v>
      </c>
      <c r="C394" s="13" t="s">
        <v>18</v>
      </c>
      <c r="D394" s="14" t="s">
        <v>57</v>
      </c>
      <c r="E394" s="6">
        <v>11218400</v>
      </c>
      <c r="F394" s="5">
        <v>10022900</v>
      </c>
      <c r="G394" s="5">
        <v>1154949</v>
      </c>
      <c r="H394" s="5">
        <f t="shared" si="125"/>
        <v>11177849</v>
      </c>
      <c r="I394" s="5">
        <f t="shared" si="126"/>
        <v>40551</v>
      </c>
      <c r="J394" s="7">
        <f t="shared" si="127"/>
        <v>0.99638531341367753</v>
      </c>
      <c r="K394" s="6">
        <f t="shared" si="128"/>
        <v>8110.2000000000007</v>
      </c>
      <c r="L394" s="19">
        <v>12104</v>
      </c>
    </row>
    <row r="395" spans="2:19" ht="18.5" customHeight="1">
      <c r="B395" s="13">
        <v>537</v>
      </c>
      <c r="C395" s="13" t="s">
        <v>19</v>
      </c>
      <c r="D395" s="14" t="s">
        <v>57</v>
      </c>
      <c r="E395" s="11">
        <v>11900000</v>
      </c>
      <c r="F395" s="8">
        <v>10696900</v>
      </c>
      <c r="G395" s="8">
        <v>1177100</v>
      </c>
      <c r="H395" s="5">
        <f t="shared" si="125"/>
        <v>11874000</v>
      </c>
      <c r="I395" s="5">
        <f t="shared" si="126"/>
        <v>26000</v>
      </c>
      <c r="J395" s="7">
        <f t="shared" si="127"/>
        <v>0.99781512605042022</v>
      </c>
      <c r="K395" s="6">
        <f t="shared" si="128"/>
        <v>5200</v>
      </c>
      <c r="L395" s="4">
        <v>58241</v>
      </c>
      <c r="M395" s="4"/>
    </row>
    <row r="396" spans="2:19" ht="18.5" customHeight="1">
      <c r="B396" s="13">
        <v>537</v>
      </c>
      <c r="C396" s="13" t="s">
        <v>20</v>
      </c>
      <c r="D396" s="14" t="s">
        <v>57</v>
      </c>
      <c r="E396" s="11">
        <v>12509700</v>
      </c>
      <c r="F396" s="8">
        <v>11119700</v>
      </c>
      <c r="G396" s="8">
        <v>1390000</v>
      </c>
      <c r="H396" s="5">
        <f t="shared" si="125"/>
        <v>12509700</v>
      </c>
      <c r="I396" s="5">
        <f t="shared" si="126"/>
        <v>0</v>
      </c>
      <c r="J396" s="7">
        <f t="shared" si="127"/>
        <v>1</v>
      </c>
      <c r="K396" s="6">
        <f t="shared" si="128"/>
        <v>0</v>
      </c>
      <c r="L396" s="19">
        <v>52677.27</v>
      </c>
    </row>
    <row r="397" spans="2:19" ht="18.5" customHeight="1">
      <c r="B397" s="13">
        <v>537</v>
      </c>
      <c r="C397" s="13" t="s">
        <v>21</v>
      </c>
      <c r="D397" s="14" t="s">
        <v>57</v>
      </c>
      <c r="E397" s="5">
        <v>12031371</v>
      </c>
      <c r="F397" s="5">
        <v>10859066</v>
      </c>
      <c r="G397" s="5">
        <v>0</v>
      </c>
      <c r="H397" s="5">
        <f t="shared" si="125"/>
        <v>10859066</v>
      </c>
      <c r="I397" s="5">
        <f t="shared" si="126"/>
        <v>1172305</v>
      </c>
      <c r="J397" s="7">
        <f t="shared" si="127"/>
        <v>0.90256264227908856</v>
      </c>
      <c r="K397" s="6">
        <f t="shared" si="128"/>
        <v>234461</v>
      </c>
      <c r="L397" s="19">
        <v>119685.18</v>
      </c>
    </row>
    <row r="398" spans="2:19" s="24" customFormat="1" ht="18.5" customHeight="1">
      <c r="B398" s="27"/>
      <c r="C398" s="27"/>
      <c r="D398" s="28" t="s">
        <v>22</v>
      </c>
      <c r="E398" s="23">
        <f>SUM(E389:E397)/9</f>
        <v>11234541.444444444</v>
      </c>
      <c r="F398" s="23">
        <f>SUM(F389:F397)/9</f>
        <v>10148493.888888888</v>
      </c>
      <c r="G398" s="23">
        <f>SUM(G389:G397)/9</f>
        <v>803097.33333333337</v>
      </c>
      <c r="H398" s="23">
        <f>SUM(H389:H397)/9</f>
        <v>10951591.222222222</v>
      </c>
      <c r="I398" s="23">
        <f>SUM(I389:I397)/9</f>
        <v>282950.22222222225</v>
      </c>
      <c r="J398" s="29">
        <f>SUM(H398/E398)</f>
        <v>0.9748142615680907</v>
      </c>
      <c r="K398" s="23">
        <f>SUM(K389:K397)/9</f>
        <v>56590.044444444444</v>
      </c>
      <c r="L398" s="20">
        <f>SUM(L389:L397)/9</f>
        <v>43560.043333333335</v>
      </c>
      <c r="M398" s="20"/>
    </row>
    <row r="399" spans="2:19" s="24" customFormat="1" ht="18.5" customHeight="1">
      <c r="B399" s="27"/>
      <c r="C399" s="27"/>
      <c r="D399" s="28"/>
      <c r="E399" s="23"/>
      <c r="F399" s="23"/>
      <c r="G399" s="23"/>
      <c r="H399" s="23"/>
      <c r="I399" s="23"/>
      <c r="J399" s="29"/>
      <c r="K399" s="23"/>
      <c r="L399" s="20"/>
      <c r="M399" s="20"/>
    </row>
    <row r="400" spans="2:19" s="25" customFormat="1" ht="45.95" customHeight="1">
      <c r="B400" s="31" t="s">
        <v>1</v>
      </c>
      <c r="C400" s="31" t="s">
        <v>2</v>
      </c>
      <c r="D400" s="38" t="s">
        <v>3</v>
      </c>
      <c r="E400" s="37" t="s">
        <v>4</v>
      </c>
      <c r="F400" s="32" t="s">
        <v>5</v>
      </c>
      <c r="G400" s="32" t="s">
        <v>6</v>
      </c>
      <c r="H400" s="33" t="s">
        <v>7</v>
      </c>
      <c r="I400" s="33" t="s">
        <v>8</v>
      </c>
      <c r="J400" s="34" t="s">
        <v>9</v>
      </c>
      <c r="K400" s="33" t="s">
        <v>10</v>
      </c>
      <c r="L400" s="35" t="s">
        <v>11</v>
      </c>
      <c r="M400" s="36"/>
      <c r="N400" s="39"/>
      <c r="O400" s="40"/>
      <c r="P400" s="41"/>
      <c r="Q400" s="40"/>
      <c r="R400" s="42"/>
      <c r="S400" s="43"/>
    </row>
    <row r="401" spans="2:19" ht="18.5" customHeight="1">
      <c r="B401" s="13">
        <v>541</v>
      </c>
      <c r="C401" s="13" t="s">
        <v>12</v>
      </c>
      <c r="D401" s="14" t="s">
        <v>58</v>
      </c>
      <c r="E401" s="6">
        <v>23047360</v>
      </c>
      <c r="F401" s="5">
        <v>21094360</v>
      </c>
      <c r="G401" s="5">
        <v>1106000</v>
      </c>
      <c r="H401" s="5">
        <f>SUM(F401+G401)</f>
        <v>22200360</v>
      </c>
      <c r="I401" s="5">
        <f>SUM(E401-H401)</f>
        <v>847000</v>
      </c>
      <c r="J401" s="7">
        <f>SUM(H401/E401)</f>
        <v>0.96324958693750606</v>
      </c>
      <c r="K401" s="6">
        <f>SUM(I401*0.2)</f>
        <v>169400</v>
      </c>
      <c r="L401" s="19">
        <v>417131.09</v>
      </c>
    </row>
    <row r="402" spans="2:19" ht="18.5" customHeight="1">
      <c r="B402" s="13">
        <v>541</v>
      </c>
      <c r="C402" s="13" t="s">
        <v>14</v>
      </c>
      <c r="D402" s="14" t="s">
        <v>58</v>
      </c>
      <c r="E402" s="6">
        <v>24148800</v>
      </c>
      <c r="F402" s="5">
        <v>21429800</v>
      </c>
      <c r="G402" s="5">
        <v>900000</v>
      </c>
      <c r="H402" s="5">
        <f>SUM(F402+G402)</f>
        <v>22329800</v>
      </c>
      <c r="I402" s="5">
        <f>SUM(E402-H402)</f>
        <v>1819000</v>
      </c>
      <c r="J402" s="7">
        <f>SUM(H402/E402)</f>
        <v>0.92467534618697411</v>
      </c>
      <c r="K402" s="6">
        <f>SUM(I402*0.2)</f>
        <v>363800</v>
      </c>
      <c r="L402" s="19">
        <v>483708.04</v>
      </c>
    </row>
    <row r="403" spans="2:19" ht="18.5" customHeight="1">
      <c r="B403" s="13">
        <v>541</v>
      </c>
      <c r="C403" s="13" t="s">
        <v>15</v>
      </c>
      <c r="D403" s="14" t="s">
        <v>58</v>
      </c>
      <c r="E403" s="6">
        <v>24453100</v>
      </c>
      <c r="F403" s="5">
        <v>21419100</v>
      </c>
      <c r="G403" s="5">
        <v>1063900</v>
      </c>
      <c r="H403" s="5">
        <f>SUM(F403+G403)</f>
        <v>22483000</v>
      </c>
      <c r="I403" s="5">
        <f>SUM(E403-H403)</f>
        <v>1970100</v>
      </c>
      <c r="J403" s="7">
        <f>SUM(H403/E403)</f>
        <v>0.91943352785536392</v>
      </c>
      <c r="K403" s="6">
        <f>SUM(I403*0.2)</f>
        <v>394020</v>
      </c>
      <c r="L403" s="19">
        <v>498548.65</v>
      </c>
    </row>
    <row r="404" spans="2:19" ht="18.5" customHeight="1">
      <c r="B404" s="13">
        <v>541</v>
      </c>
      <c r="C404" s="13" t="s">
        <v>16</v>
      </c>
      <c r="D404" s="14" t="s">
        <v>58</v>
      </c>
      <c r="E404" s="6">
        <v>22474916</v>
      </c>
      <c r="F404" s="5">
        <v>16885927</v>
      </c>
      <c r="G404" s="5">
        <v>761404</v>
      </c>
      <c r="H404" s="5">
        <f>SUM(F404+G404)</f>
        <v>17647331</v>
      </c>
      <c r="I404" s="5">
        <f>SUM(E404-H404)</f>
        <v>4827585</v>
      </c>
      <c r="J404" s="7">
        <f>SUM(H404/E404)</f>
        <v>0.7852011994171636</v>
      </c>
      <c r="K404" s="6">
        <f>SUM(I404*0.2)</f>
        <v>965517</v>
      </c>
      <c r="L404" s="19">
        <v>63279.97</v>
      </c>
    </row>
    <row r="405" spans="2:19" ht="18.5" customHeight="1">
      <c r="B405" s="13">
        <v>541</v>
      </c>
      <c r="C405" s="13" t="s">
        <v>17</v>
      </c>
      <c r="D405" s="14" t="s">
        <v>58</v>
      </c>
      <c r="E405" s="6">
        <v>28844000</v>
      </c>
      <c r="F405" s="5">
        <v>14362150</v>
      </c>
      <c r="G405" s="5">
        <v>3650000</v>
      </c>
      <c r="H405" s="5">
        <f>SUM(F405+G405)</f>
        <v>18012150</v>
      </c>
      <c r="I405" s="5">
        <f>SUM(E405-H405)</f>
        <v>10831850</v>
      </c>
      <c r="J405" s="7">
        <f>SUM(H405/E405)</f>
        <v>0.6244678269310775</v>
      </c>
      <c r="K405" s="6">
        <f>SUM(I405*0.2)</f>
        <v>2166370</v>
      </c>
      <c r="L405" s="19">
        <v>112887</v>
      </c>
    </row>
    <row r="406" spans="2:19" ht="18.5" customHeight="1">
      <c r="B406" s="13">
        <v>541</v>
      </c>
      <c r="C406" s="13" t="s">
        <v>18</v>
      </c>
      <c r="D406" s="14" t="s">
        <v>58</v>
      </c>
      <c r="E406" s="18" t="s">
        <v>59</v>
      </c>
    </row>
    <row r="407" spans="2:19" s="24" customFormat="1" ht="18.5" customHeight="1">
      <c r="B407" s="27"/>
      <c r="C407" s="27"/>
      <c r="D407" s="28" t="s">
        <v>60</v>
      </c>
      <c r="E407" s="23">
        <f>SUM(E398:E406)/5</f>
        <v>26840543.48888889</v>
      </c>
      <c r="F407" s="23">
        <f>SUM(F398:F406)/5</f>
        <v>21067966.177777778</v>
      </c>
      <c r="G407" s="23">
        <f>SUM(G398:G406)/5</f>
        <v>1656880.2666666668</v>
      </c>
      <c r="H407" s="23">
        <f>SUM(H398:H406)/5</f>
        <v>22724846.444444444</v>
      </c>
      <c r="I407" s="23">
        <f>SUM(I398:I406)/5</f>
        <v>4115697.0444444446</v>
      </c>
      <c r="J407" s="29">
        <f>SUM(H407/E407)</f>
        <v>0.84666118828226378</v>
      </c>
      <c r="K407" s="23">
        <f>SUM(K398:K406)/7</f>
        <v>587956.72063492064</v>
      </c>
      <c r="L407" s="20">
        <f>SUM(L398:L406)/5</f>
        <v>323822.95866666664</v>
      </c>
      <c r="M407" s="20"/>
    </row>
    <row r="408" spans="2:19" s="24" customFormat="1" ht="18.5" customHeight="1">
      <c r="B408" s="27"/>
      <c r="C408" s="27"/>
      <c r="D408" s="28"/>
      <c r="E408" s="23"/>
      <c r="F408" s="23"/>
      <c r="G408" s="23"/>
      <c r="H408" s="23"/>
      <c r="I408" s="23"/>
      <c r="J408" s="29"/>
      <c r="K408" s="23"/>
      <c r="L408" s="20"/>
      <c r="M408" s="20"/>
    </row>
    <row r="409" spans="2:19" s="25" customFormat="1" ht="45.95" customHeight="1">
      <c r="B409" s="31" t="s">
        <v>1</v>
      </c>
      <c r="C409" s="31" t="s">
        <v>2</v>
      </c>
      <c r="D409" s="38" t="s">
        <v>3</v>
      </c>
      <c r="E409" s="37" t="s">
        <v>4</v>
      </c>
      <c r="F409" s="32" t="s">
        <v>5</v>
      </c>
      <c r="G409" s="32" t="s">
        <v>6</v>
      </c>
      <c r="H409" s="33" t="s">
        <v>7</v>
      </c>
      <c r="I409" s="33" t="s">
        <v>8</v>
      </c>
      <c r="J409" s="34" t="s">
        <v>9</v>
      </c>
      <c r="K409" s="33" t="s">
        <v>10</v>
      </c>
      <c r="L409" s="35" t="s">
        <v>11</v>
      </c>
      <c r="M409" s="36"/>
      <c r="N409" s="39"/>
      <c r="O409" s="40"/>
      <c r="P409" s="41"/>
      <c r="Q409" s="40"/>
      <c r="R409" s="42"/>
      <c r="S409" s="43"/>
    </row>
    <row r="410" spans="2:19" ht="18.5" customHeight="1">
      <c r="B410" s="13">
        <v>542</v>
      </c>
      <c r="C410" s="13" t="s">
        <v>12</v>
      </c>
      <c r="D410" s="14" t="s">
        <v>61</v>
      </c>
      <c r="E410" s="6">
        <v>1755000</v>
      </c>
      <c r="F410" s="5">
        <v>1572700</v>
      </c>
      <c r="G410" s="5">
        <v>161800</v>
      </c>
      <c r="H410" s="5">
        <f t="shared" ref="H410:H418" si="129">SUM(F410+G410)</f>
        <v>1734500</v>
      </c>
      <c r="I410" s="5">
        <f t="shared" ref="I410:I418" si="130">SUM(E410-H410)</f>
        <v>20500</v>
      </c>
      <c r="J410" s="7">
        <f t="shared" ref="J410:J418" si="131">SUM(H410/E410)</f>
        <v>0.98831908831908832</v>
      </c>
      <c r="K410" s="6">
        <f t="shared" ref="K410:K418" si="132">SUM(I410*0.2)</f>
        <v>4100</v>
      </c>
      <c r="L410" s="19">
        <v>24362.55</v>
      </c>
    </row>
    <row r="411" spans="2:19" ht="18.5" customHeight="1">
      <c r="B411" s="13">
        <v>542</v>
      </c>
      <c r="C411" s="13" t="s">
        <v>14</v>
      </c>
      <c r="D411" s="14" t="s">
        <v>61</v>
      </c>
      <c r="E411" s="6">
        <v>1799400</v>
      </c>
      <c r="F411" s="5">
        <v>1658817</v>
      </c>
      <c r="G411" s="5">
        <v>140083</v>
      </c>
      <c r="H411" s="5">
        <f t="shared" si="129"/>
        <v>1798900</v>
      </c>
      <c r="I411" s="5">
        <f t="shared" si="130"/>
        <v>500</v>
      </c>
      <c r="J411" s="7">
        <f t="shared" si="131"/>
        <v>0.99972212959875517</v>
      </c>
      <c r="K411" s="6">
        <f t="shared" si="132"/>
        <v>100</v>
      </c>
      <c r="L411" s="19">
        <v>42164.770000000004</v>
      </c>
    </row>
    <row r="412" spans="2:19" ht="18.5" customHeight="1">
      <c r="B412" s="13">
        <v>542</v>
      </c>
      <c r="C412" s="13" t="s">
        <v>15</v>
      </c>
      <c r="D412" s="14" t="s">
        <v>61</v>
      </c>
      <c r="E412" s="6">
        <v>2099400</v>
      </c>
      <c r="F412" s="5">
        <v>1680200</v>
      </c>
      <c r="G412" s="5">
        <v>417700</v>
      </c>
      <c r="H412" s="5">
        <f t="shared" si="129"/>
        <v>2097900</v>
      </c>
      <c r="I412" s="5">
        <f t="shared" si="130"/>
        <v>1500</v>
      </c>
      <c r="J412" s="7">
        <f t="shared" si="131"/>
        <v>0.99928551014575595</v>
      </c>
      <c r="K412" s="6">
        <f t="shared" si="132"/>
        <v>300</v>
      </c>
      <c r="L412" s="19">
        <v>32170.93</v>
      </c>
    </row>
    <row r="413" spans="2:19" ht="18.5" customHeight="1">
      <c r="B413" s="13">
        <v>542</v>
      </c>
      <c r="C413" s="13" t="s">
        <v>16</v>
      </c>
      <c r="D413" s="14" t="s">
        <v>61</v>
      </c>
      <c r="E413" s="6">
        <v>2099400</v>
      </c>
      <c r="F413" s="5">
        <v>1619700</v>
      </c>
      <c r="G413" s="5">
        <v>478200</v>
      </c>
      <c r="H413" s="5">
        <f t="shared" si="129"/>
        <v>2097900</v>
      </c>
      <c r="I413" s="5">
        <f t="shared" si="130"/>
        <v>1500</v>
      </c>
      <c r="J413" s="7">
        <f t="shared" si="131"/>
        <v>0.99928551014575595</v>
      </c>
      <c r="K413" s="6">
        <f t="shared" si="132"/>
        <v>300</v>
      </c>
      <c r="L413" s="19">
        <v>0</v>
      </c>
    </row>
    <row r="414" spans="2:19" ht="18.5" customHeight="1">
      <c r="B414" s="13">
        <v>542</v>
      </c>
      <c r="C414" s="13" t="s">
        <v>17</v>
      </c>
      <c r="D414" s="14" t="s">
        <v>61</v>
      </c>
      <c r="E414" s="6">
        <v>2099400</v>
      </c>
      <c r="F414" s="5">
        <v>1619700</v>
      </c>
      <c r="G414" s="5">
        <v>478200</v>
      </c>
      <c r="H414" s="5">
        <f t="shared" si="129"/>
        <v>2097900</v>
      </c>
      <c r="I414" s="5">
        <f t="shared" si="130"/>
        <v>1500</v>
      </c>
      <c r="J414" s="7">
        <f t="shared" si="131"/>
        <v>0.99928551014575595</v>
      </c>
      <c r="K414" s="6">
        <f t="shared" si="132"/>
        <v>300</v>
      </c>
      <c r="L414" s="19">
        <v>16436</v>
      </c>
    </row>
    <row r="415" spans="2:19" ht="18.5" customHeight="1">
      <c r="B415" s="13">
        <v>542</v>
      </c>
      <c r="C415" s="13" t="s">
        <v>18</v>
      </c>
      <c r="D415" s="14" t="s">
        <v>61</v>
      </c>
      <c r="E415" s="6">
        <v>2064800</v>
      </c>
      <c r="F415" s="5">
        <v>1611400</v>
      </c>
      <c r="G415" s="5">
        <v>452400</v>
      </c>
      <c r="H415" s="5">
        <f t="shared" si="129"/>
        <v>2063800</v>
      </c>
      <c r="I415" s="5">
        <f t="shared" si="130"/>
        <v>1000</v>
      </c>
      <c r="J415" s="7">
        <f t="shared" si="131"/>
        <v>0.99951569159240605</v>
      </c>
      <c r="K415" s="6">
        <f t="shared" si="132"/>
        <v>200</v>
      </c>
      <c r="L415" s="19">
        <v>3477</v>
      </c>
    </row>
    <row r="416" spans="2:19" ht="18.5" customHeight="1">
      <c r="B416" s="13">
        <v>542</v>
      </c>
      <c r="C416" s="13" t="s">
        <v>19</v>
      </c>
      <c r="D416" s="14" t="s">
        <v>61</v>
      </c>
      <c r="E416" s="11">
        <v>2400000</v>
      </c>
      <c r="F416" s="8">
        <v>1843100</v>
      </c>
      <c r="G416" s="8">
        <v>555900</v>
      </c>
      <c r="H416" s="5">
        <f t="shared" si="129"/>
        <v>2399000</v>
      </c>
      <c r="I416" s="5">
        <f t="shared" si="130"/>
        <v>1000</v>
      </c>
      <c r="J416" s="7">
        <f t="shared" si="131"/>
        <v>0.99958333333333338</v>
      </c>
      <c r="K416" s="6">
        <f t="shared" si="132"/>
        <v>200</v>
      </c>
      <c r="L416" s="4">
        <v>12616</v>
      </c>
      <c r="M416" s="4"/>
    </row>
    <row r="417" spans="2:19" ht="18.5" customHeight="1">
      <c r="B417" s="13">
        <v>542</v>
      </c>
      <c r="C417" s="13" t="s">
        <v>20</v>
      </c>
      <c r="D417" s="14" t="s">
        <v>61</v>
      </c>
      <c r="E417" s="11">
        <v>3089600</v>
      </c>
      <c r="F417" s="8">
        <v>2475375</v>
      </c>
      <c r="G417" s="8">
        <v>609725</v>
      </c>
      <c r="H417" s="5">
        <f t="shared" si="129"/>
        <v>3085100</v>
      </c>
      <c r="I417" s="5">
        <f t="shared" si="130"/>
        <v>4500</v>
      </c>
      <c r="J417" s="7">
        <f t="shared" si="131"/>
        <v>0.99854350077679954</v>
      </c>
      <c r="K417" s="6">
        <f t="shared" si="132"/>
        <v>900</v>
      </c>
      <c r="L417" s="19">
        <v>8438.4000000000015</v>
      </c>
    </row>
    <row r="418" spans="2:19" ht="18.5" customHeight="1">
      <c r="B418" s="13">
        <v>542</v>
      </c>
      <c r="C418" s="13" t="s">
        <v>21</v>
      </c>
      <c r="D418" s="14" t="s">
        <v>61</v>
      </c>
      <c r="E418" s="5">
        <v>3089600</v>
      </c>
      <c r="F418" s="5">
        <v>1898600</v>
      </c>
      <c r="G418" s="5">
        <v>1186500</v>
      </c>
      <c r="H418" s="5">
        <f t="shared" si="129"/>
        <v>3085100</v>
      </c>
      <c r="I418" s="5">
        <f t="shared" si="130"/>
        <v>4500</v>
      </c>
      <c r="J418" s="7">
        <f t="shared" si="131"/>
        <v>0.99854350077679954</v>
      </c>
      <c r="K418" s="6">
        <f t="shared" si="132"/>
        <v>900</v>
      </c>
      <c r="L418" s="19">
        <v>15264.47</v>
      </c>
    </row>
    <row r="419" spans="2:19" s="24" customFormat="1" ht="18.5" customHeight="1">
      <c r="B419" s="27"/>
      <c r="C419" s="27"/>
      <c r="D419" s="28" t="s">
        <v>22</v>
      </c>
      <c r="E419" s="23">
        <f>SUM(E410:E418)/9</f>
        <v>2277400</v>
      </c>
      <c r="F419" s="23">
        <f>SUM(F410:F418)/9</f>
        <v>1775510.2222222222</v>
      </c>
      <c r="G419" s="23">
        <f>SUM(G410:G418)/9</f>
        <v>497834.22222222225</v>
      </c>
      <c r="H419" s="23">
        <f>SUM(H410:H418)/9</f>
        <v>2273344.4444444445</v>
      </c>
      <c r="I419" s="23">
        <f>SUM(I410:I418)/9</f>
        <v>4055.5555555555557</v>
      </c>
      <c r="J419" s="29">
        <f>SUM(H419/E419)</f>
        <v>0.99821921684572079</v>
      </c>
      <c r="K419" s="23">
        <f>SUM(K410:K418)/9</f>
        <v>811.11111111111109</v>
      </c>
      <c r="L419" s="20">
        <f>SUM(L410:L418)/9</f>
        <v>17214.457777777778</v>
      </c>
      <c r="M419" s="20"/>
    </row>
    <row r="420" spans="2:19" s="24" customFormat="1" ht="18.5" customHeight="1">
      <c r="B420" s="27"/>
      <c r="C420" s="27"/>
      <c r="D420" s="28"/>
      <c r="E420" s="23"/>
      <c r="F420" s="23"/>
      <c r="G420" s="23"/>
      <c r="H420" s="23"/>
      <c r="I420" s="23"/>
      <c r="J420" s="29"/>
      <c r="K420" s="23"/>
      <c r="L420" s="20"/>
      <c r="M420" s="20"/>
    </row>
    <row r="421" spans="2:19" s="25" customFormat="1" ht="45.95" customHeight="1">
      <c r="B421" s="31" t="s">
        <v>1</v>
      </c>
      <c r="C421" s="31" t="s">
        <v>2</v>
      </c>
      <c r="D421" s="38" t="s">
        <v>3</v>
      </c>
      <c r="E421" s="37" t="s">
        <v>4</v>
      </c>
      <c r="F421" s="32" t="s">
        <v>5</v>
      </c>
      <c r="G421" s="32" t="s">
        <v>6</v>
      </c>
      <c r="H421" s="33" t="s">
        <v>7</v>
      </c>
      <c r="I421" s="33" t="s">
        <v>8</v>
      </c>
      <c r="J421" s="34" t="s">
        <v>9</v>
      </c>
      <c r="K421" s="33" t="s">
        <v>10</v>
      </c>
      <c r="L421" s="35" t="s">
        <v>11</v>
      </c>
      <c r="M421" s="36"/>
      <c r="N421" s="39"/>
      <c r="O421" s="40"/>
      <c r="P421" s="41"/>
      <c r="Q421" s="40"/>
      <c r="R421" s="42"/>
      <c r="S421" s="43"/>
    </row>
    <row r="422" spans="2:19" ht="18.5" customHeight="1">
      <c r="B422" s="13">
        <v>546</v>
      </c>
      <c r="C422" s="13" t="s">
        <v>12</v>
      </c>
      <c r="D422" s="14" t="s">
        <v>62</v>
      </c>
      <c r="E422" s="6">
        <v>153008001</v>
      </c>
      <c r="F422" s="5">
        <v>148314400</v>
      </c>
      <c r="G422" s="5">
        <v>4578200</v>
      </c>
      <c r="H422" s="5">
        <f t="shared" ref="H422:H430" si="133">SUM(F422+G422)</f>
        <v>152892600</v>
      </c>
      <c r="I422" s="5">
        <f t="shared" ref="I422:I430" si="134">SUM(E422-H422)</f>
        <v>115401</v>
      </c>
      <c r="J422" s="7">
        <f t="shared" ref="J422:J430" si="135">SUM(H422/E422)</f>
        <v>0.99924578453907131</v>
      </c>
      <c r="K422" s="6">
        <f t="shared" ref="K422:K430" si="136">SUM(I422*0.2)</f>
        <v>23080.2</v>
      </c>
      <c r="L422" s="19">
        <v>37033.929999999993</v>
      </c>
    </row>
    <row r="423" spans="2:19" ht="18.5" customHeight="1">
      <c r="B423" s="13">
        <v>546</v>
      </c>
      <c r="C423" s="13" t="s">
        <v>14</v>
      </c>
      <c r="D423" s="14" t="s">
        <v>62</v>
      </c>
      <c r="E423" s="6">
        <v>169244000</v>
      </c>
      <c r="F423" s="5">
        <v>165097900</v>
      </c>
      <c r="G423" s="5">
        <v>4020100</v>
      </c>
      <c r="H423" s="5">
        <f t="shared" si="133"/>
        <v>169118000</v>
      </c>
      <c r="I423" s="5">
        <f t="shared" si="134"/>
        <v>126000</v>
      </c>
      <c r="J423" s="7">
        <f t="shared" si="135"/>
        <v>0.99925551275082125</v>
      </c>
      <c r="K423" s="6">
        <f t="shared" si="136"/>
        <v>25200</v>
      </c>
      <c r="L423" s="19">
        <v>12618.31</v>
      </c>
    </row>
    <row r="424" spans="2:19" ht="18.5" customHeight="1">
      <c r="B424" s="13">
        <v>546</v>
      </c>
      <c r="C424" s="13" t="s">
        <v>15</v>
      </c>
      <c r="D424" s="14" t="s">
        <v>62</v>
      </c>
      <c r="E424" s="6">
        <v>103319200</v>
      </c>
      <c r="F424" s="5">
        <v>99136600</v>
      </c>
      <c r="G424" s="5">
        <v>4097100</v>
      </c>
      <c r="H424" s="5">
        <f t="shared" si="133"/>
        <v>103233700</v>
      </c>
      <c r="I424" s="5">
        <f t="shared" si="134"/>
        <v>85500</v>
      </c>
      <c r="J424" s="7">
        <f t="shared" si="135"/>
        <v>0.99917246746006549</v>
      </c>
      <c r="K424" s="6">
        <f t="shared" si="136"/>
        <v>17100</v>
      </c>
      <c r="L424" s="19">
        <v>35549.170000000006</v>
      </c>
    </row>
    <row r="425" spans="2:19" ht="18.5" customHeight="1">
      <c r="B425" s="13">
        <v>546</v>
      </c>
      <c r="C425" s="13" t="s">
        <v>16</v>
      </c>
      <c r="D425" s="14" t="s">
        <v>62</v>
      </c>
      <c r="E425" s="6">
        <v>102857200</v>
      </c>
      <c r="F425" s="5">
        <v>98774300</v>
      </c>
      <c r="G425" s="5">
        <v>3991100</v>
      </c>
      <c r="H425" s="5">
        <f t="shared" si="133"/>
        <v>102765400</v>
      </c>
      <c r="I425" s="5">
        <f t="shared" si="134"/>
        <v>91800</v>
      </c>
      <c r="J425" s="7">
        <f t="shared" si="135"/>
        <v>0.99910750049583308</v>
      </c>
      <c r="K425" s="6">
        <f t="shared" si="136"/>
        <v>18360</v>
      </c>
      <c r="L425" s="19">
        <v>98974.52</v>
      </c>
    </row>
    <row r="426" spans="2:19" ht="18.5" customHeight="1">
      <c r="B426" s="13">
        <v>546</v>
      </c>
      <c r="C426" s="13" t="s">
        <v>17</v>
      </c>
      <c r="D426" s="14" t="s">
        <v>62</v>
      </c>
      <c r="E426" s="6">
        <v>96662133</v>
      </c>
      <c r="F426" s="5">
        <v>93143433</v>
      </c>
      <c r="G426" s="5">
        <v>3393388</v>
      </c>
      <c r="H426" s="5">
        <f t="shared" si="133"/>
        <v>96536821</v>
      </c>
      <c r="I426" s="5">
        <f t="shared" si="134"/>
        <v>125312</v>
      </c>
      <c r="J426" s="7">
        <f t="shared" si="135"/>
        <v>0.99870360816474013</v>
      </c>
      <c r="K426" s="6">
        <f t="shared" si="136"/>
        <v>25062.400000000001</v>
      </c>
      <c r="L426" s="19">
        <v>149612</v>
      </c>
    </row>
    <row r="427" spans="2:19" ht="18.5" customHeight="1">
      <c r="B427" s="13">
        <v>546</v>
      </c>
      <c r="C427" s="13" t="s">
        <v>18</v>
      </c>
      <c r="D427" s="14" t="s">
        <v>62</v>
      </c>
      <c r="E427" s="6">
        <v>137900400</v>
      </c>
      <c r="F427" s="5">
        <v>133472400</v>
      </c>
      <c r="G427" s="5">
        <v>4308800</v>
      </c>
      <c r="H427" s="5">
        <f t="shared" si="133"/>
        <v>137781200</v>
      </c>
      <c r="I427" s="5">
        <f t="shared" si="134"/>
        <v>119200</v>
      </c>
      <c r="J427" s="7">
        <f t="shared" si="135"/>
        <v>0.99913560801854095</v>
      </c>
      <c r="K427" s="6">
        <f t="shared" si="136"/>
        <v>23840</v>
      </c>
      <c r="L427" s="19">
        <v>42160</v>
      </c>
    </row>
    <row r="428" spans="2:19" ht="18.5" customHeight="1">
      <c r="B428" s="13">
        <v>546</v>
      </c>
      <c r="C428" s="13" t="s">
        <v>19</v>
      </c>
      <c r="D428" s="14" t="s">
        <v>62</v>
      </c>
      <c r="E428" s="11">
        <v>158253000</v>
      </c>
      <c r="F428" s="8">
        <v>153310300</v>
      </c>
      <c r="G428" s="8">
        <v>4842400</v>
      </c>
      <c r="H428" s="5">
        <f t="shared" si="133"/>
        <v>158152700</v>
      </c>
      <c r="I428" s="5">
        <f t="shared" si="134"/>
        <v>100300</v>
      </c>
      <c r="J428" s="7">
        <f t="shared" si="135"/>
        <v>0.99936620474809323</v>
      </c>
      <c r="K428" s="6">
        <f t="shared" si="136"/>
        <v>20060</v>
      </c>
      <c r="L428" s="4">
        <v>13297</v>
      </c>
      <c r="M428" s="4"/>
    </row>
    <row r="429" spans="2:19" ht="18.5" customHeight="1">
      <c r="B429" s="13">
        <v>546</v>
      </c>
      <c r="C429" s="13" t="s">
        <v>20</v>
      </c>
      <c r="D429" s="14" t="s">
        <v>62</v>
      </c>
      <c r="E429" s="11">
        <v>209256624</v>
      </c>
      <c r="F429" s="8">
        <v>208938524</v>
      </c>
      <c r="G429" s="8">
        <v>213400</v>
      </c>
      <c r="H429" s="5">
        <f t="shared" si="133"/>
        <v>209151924</v>
      </c>
      <c r="I429" s="5">
        <f t="shared" si="134"/>
        <v>104700</v>
      </c>
      <c r="J429" s="7">
        <f t="shared" si="135"/>
        <v>0.99949965741586277</v>
      </c>
      <c r="K429" s="6">
        <f t="shared" si="136"/>
        <v>20940</v>
      </c>
      <c r="L429" s="19">
        <v>16249.36</v>
      </c>
    </row>
    <row r="430" spans="2:19" ht="18.5" customHeight="1">
      <c r="B430" s="13">
        <v>546</v>
      </c>
      <c r="C430" s="13" t="s">
        <v>21</v>
      </c>
      <c r="D430" s="14" t="s">
        <v>62</v>
      </c>
      <c r="E430" s="5">
        <v>273562300</v>
      </c>
      <c r="F430" s="5">
        <v>273399400</v>
      </c>
      <c r="G430" s="5">
        <v>108000</v>
      </c>
      <c r="H430" s="5">
        <f t="shared" si="133"/>
        <v>273507400</v>
      </c>
      <c r="I430" s="5">
        <f t="shared" si="134"/>
        <v>54900</v>
      </c>
      <c r="J430" s="7">
        <f t="shared" si="135"/>
        <v>0.9997993144523204</v>
      </c>
      <c r="K430" s="6">
        <f t="shared" si="136"/>
        <v>10980</v>
      </c>
      <c r="L430" s="19">
        <v>43859.53</v>
      </c>
    </row>
    <row r="431" spans="2:19" s="24" customFormat="1" ht="18.5" customHeight="1">
      <c r="B431" s="27"/>
      <c r="C431" s="27"/>
      <c r="D431" s="28" t="s">
        <v>22</v>
      </c>
      <c r="E431" s="23">
        <f>SUM(E422:E430)/9</f>
        <v>156006984.22222221</v>
      </c>
      <c r="F431" s="23">
        <f>SUM(F422:F430)/9</f>
        <v>152620806.33333334</v>
      </c>
      <c r="G431" s="23">
        <f>SUM(G422:G430)/9</f>
        <v>3283609.777777778</v>
      </c>
      <c r="H431" s="23">
        <f>SUM(H422:H430)/9</f>
        <v>155904416.1111111</v>
      </c>
      <c r="I431" s="23">
        <f>SUM(I422:I430)/9</f>
        <v>102568.11111111111</v>
      </c>
      <c r="J431" s="29">
        <f>SUM(H431/E431)</f>
        <v>0.99934254154310809</v>
      </c>
      <c r="K431" s="23">
        <f>SUM(K422:K430)/9</f>
        <v>20513.622222222224</v>
      </c>
      <c r="L431" s="20">
        <f>SUM(L422:L430)/9</f>
        <v>49928.202222222215</v>
      </c>
      <c r="M431" s="20"/>
    </row>
    <row r="432" spans="2:19" s="24" customFormat="1" ht="18.5" customHeight="1">
      <c r="B432" s="27"/>
      <c r="C432" s="27"/>
      <c r="D432" s="28"/>
      <c r="E432" s="23"/>
      <c r="F432" s="23"/>
      <c r="G432" s="23"/>
      <c r="H432" s="23"/>
      <c r="I432" s="23"/>
      <c r="J432" s="29"/>
      <c r="K432" s="23"/>
      <c r="L432" s="20"/>
      <c r="M432" s="20"/>
    </row>
    <row r="433" spans="2:19" s="25" customFormat="1" ht="45.95" customHeight="1">
      <c r="B433" s="31" t="s">
        <v>1</v>
      </c>
      <c r="C433" s="31" t="s">
        <v>2</v>
      </c>
      <c r="D433" s="38" t="s">
        <v>3</v>
      </c>
      <c r="E433" s="37" t="s">
        <v>4</v>
      </c>
      <c r="F433" s="32" t="s">
        <v>5</v>
      </c>
      <c r="G433" s="32" t="s">
        <v>6</v>
      </c>
      <c r="H433" s="33" t="s">
        <v>7</v>
      </c>
      <c r="I433" s="33" t="s">
        <v>8</v>
      </c>
      <c r="J433" s="34" t="s">
        <v>9</v>
      </c>
      <c r="K433" s="33" t="s">
        <v>10</v>
      </c>
      <c r="L433" s="35" t="s">
        <v>11</v>
      </c>
      <c r="M433" s="36"/>
      <c r="N433" s="39"/>
      <c r="O433" s="40"/>
      <c r="P433" s="41"/>
      <c r="Q433" s="40"/>
      <c r="R433" s="42"/>
      <c r="S433" s="43"/>
    </row>
    <row r="434" spans="2:19" ht="18.5" customHeight="1">
      <c r="B434" s="13">
        <v>548</v>
      </c>
      <c r="C434" s="13" t="s">
        <v>12</v>
      </c>
      <c r="D434" s="14" t="s">
        <v>63</v>
      </c>
      <c r="E434" s="6">
        <v>978010</v>
      </c>
      <c r="F434" s="5">
        <v>912300</v>
      </c>
      <c r="G434" s="5">
        <v>65710</v>
      </c>
      <c r="H434" s="5">
        <f t="shared" ref="H434:H442" si="137">SUM(F434+G434)</f>
        <v>978010</v>
      </c>
      <c r="I434" s="5">
        <f t="shared" ref="I434:I442" si="138">SUM(E434-H434)</f>
        <v>0</v>
      </c>
      <c r="J434" s="7">
        <f t="shared" ref="J434:J442" si="139">SUM(H434/E434)</f>
        <v>1</v>
      </c>
      <c r="K434" s="6">
        <f t="shared" ref="K434:K442" si="140">SUM(I434*0.2)</f>
        <v>0</v>
      </c>
      <c r="L434" s="19">
        <v>40639.120000000003</v>
      </c>
    </row>
    <row r="435" spans="2:19" ht="18.5" customHeight="1">
      <c r="B435" s="13">
        <v>548</v>
      </c>
      <c r="C435" s="13" t="s">
        <v>14</v>
      </c>
      <c r="D435" s="14" t="s">
        <v>63</v>
      </c>
      <c r="E435" s="6">
        <v>1602210</v>
      </c>
      <c r="F435" s="5">
        <v>1536500</v>
      </c>
      <c r="G435" s="5">
        <v>65710</v>
      </c>
      <c r="H435" s="5">
        <f t="shared" si="137"/>
        <v>1602210</v>
      </c>
      <c r="I435" s="5">
        <f t="shared" si="138"/>
        <v>0</v>
      </c>
      <c r="J435" s="7">
        <f t="shared" si="139"/>
        <v>1</v>
      </c>
      <c r="K435" s="6">
        <f t="shared" si="140"/>
        <v>0</v>
      </c>
      <c r="L435" s="19">
        <v>27202.81</v>
      </c>
    </row>
    <row r="436" spans="2:19" ht="18.5" customHeight="1">
      <c r="B436" s="13">
        <v>548</v>
      </c>
      <c r="C436" s="13" t="s">
        <v>15</v>
      </c>
      <c r="D436" s="14" t="s">
        <v>63</v>
      </c>
      <c r="E436" s="6">
        <v>1633884</v>
      </c>
      <c r="F436" s="5">
        <v>1601800</v>
      </c>
      <c r="G436" s="5">
        <v>32084</v>
      </c>
      <c r="H436" s="5">
        <f t="shared" si="137"/>
        <v>1633884</v>
      </c>
      <c r="I436" s="5">
        <f t="shared" si="138"/>
        <v>0</v>
      </c>
      <c r="J436" s="7">
        <f t="shared" si="139"/>
        <v>1</v>
      </c>
      <c r="K436" s="6">
        <f t="shared" si="140"/>
        <v>0</v>
      </c>
      <c r="L436" s="19">
        <v>44489.200000000004</v>
      </c>
    </row>
    <row r="437" spans="2:19" ht="18.5" customHeight="1">
      <c r="B437" s="13">
        <v>548</v>
      </c>
      <c r="C437" s="13" t="s">
        <v>16</v>
      </c>
      <c r="D437" s="14" t="s">
        <v>63</v>
      </c>
      <c r="E437" s="6">
        <v>1673716</v>
      </c>
      <c r="F437" s="5">
        <v>1617500</v>
      </c>
      <c r="G437" s="5">
        <v>56216</v>
      </c>
      <c r="H437" s="5">
        <f t="shared" si="137"/>
        <v>1673716</v>
      </c>
      <c r="I437" s="5">
        <f t="shared" si="138"/>
        <v>0</v>
      </c>
      <c r="J437" s="7">
        <f t="shared" si="139"/>
        <v>1</v>
      </c>
      <c r="K437" s="6">
        <f t="shared" si="140"/>
        <v>0</v>
      </c>
      <c r="L437" s="19">
        <v>32660.809999999998</v>
      </c>
    </row>
    <row r="438" spans="2:19" ht="18.5" customHeight="1">
      <c r="B438" s="13">
        <v>548</v>
      </c>
      <c r="C438" s="13" t="s">
        <v>17</v>
      </c>
      <c r="D438" s="14" t="s">
        <v>63</v>
      </c>
      <c r="E438" s="6">
        <v>1569750</v>
      </c>
      <c r="F438" s="5">
        <v>1509700</v>
      </c>
      <c r="G438" s="5">
        <v>60050</v>
      </c>
      <c r="H438" s="5">
        <f t="shared" si="137"/>
        <v>1569750</v>
      </c>
      <c r="I438" s="5">
        <f t="shared" si="138"/>
        <v>0</v>
      </c>
      <c r="J438" s="7">
        <f t="shared" si="139"/>
        <v>1</v>
      </c>
      <c r="K438" s="6">
        <f t="shared" si="140"/>
        <v>0</v>
      </c>
      <c r="L438" s="19">
        <v>25101</v>
      </c>
    </row>
    <row r="439" spans="2:19" ht="18.5" customHeight="1">
      <c r="B439" s="13">
        <v>548</v>
      </c>
      <c r="C439" s="13" t="s">
        <v>18</v>
      </c>
      <c r="D439" s="14" t="s">
        <v>63</v>
      </c>
      <c r="E439" s="6">
        <v>1758000</v>
      </c>
      <c r="F439" s="5">
        <v>1696000</v>
      </c>
      <c r="G439" s="5">
        <v>62000</v>
      </c>
      <c r="H439" s="5">
        <f t="shared" si="137"/>
        <v>1758000</v>
      </c>
      <c r="I439" s="5">
        <f t="shared" si="138"/>
        <v>0</v>
      </c>
      <c r="J439" s="7">
        <f t="shared" si="139"/>
        <v>1</v>
      </c>
      <c r="K439" s="6">
        <f t="shared" si="140"/>
        <v>0</v>
      </c>
      <c r="L439" s="19">
        <v>35727</v>
      </c>
    </row>
    <row r="440" spans="2:19" ht="18.5" customHeight="1">
      <c r="B440" s="13">
        <v>548</v>
      </c>
      <c r="C440" s="13" t="s">
        <v>19</v>
      </c>
      <c r="D440" s="14" t="s">
        <v>63</v>
      </c>
      <c r="E440" s="11">
        <v>1760722</v>
      </c>
      <c r="F440" s="8">
        <v>1696235</v>
      </c>
      <c r="G440" s="8">
        <v>64487</v>
      </c>
      <c r="H440" s="5">
        <f t="shared" si="137"/>
        <v>1760722</v>
      </c>
      <c r="I440" s="5">
        <f t="shared" si="138"/>
        <v>0</v>
      </c>
      <c r="J440" s="7">
        <f t="shared" si="139"/>
        <v>1</v>
      </c>
      <c r="K440" s="6">
        <f t="shared" si="140"/>
        <v>0</v>
      </c>
      <c r="L440" s="4">
        <v>25303</v>
      </c>
      <c r="M440" s="4"/>
    </row>
    <row r="441" spans="2:19" ht="18.5" customHeight="1">
      <c r="B441" s="13">
        <v>548</v>
      </c>
      <c r="C441" s="13" t="s">
        <v>20</v>
      </c>
      <c r="D441" s="14" t="s">
        <v>63</v>
      </c>
      <c r="E441" s="11">
        <v>1940700</v>
      </c>
      <c r="F441" s="8">
        <v>1822000</v>
      </c>
      <c r="G441" s="8">
        <v>0</v>
      </c>
      <c r="H441" s="5">
        <f t="shared" si="137"/>
        <v>1822000</v>
      </c>
      <c r="I441" s="5">
        <f t="shared" si="138"/>
        <v>118700</v>
      </c>
      <c r="J441" s="7">
        <f t="shared" si="139"/>
        <v>0.9388365022929871</v>
      </c>
      <c r="K441" s="6">
        <f t="shared" si="140"/>
        <v>23740</v>
      </c>
      <c r="L441" s="19">
        <v>21966.660000000003</v>
      </c>
    </row>
    <row r="442" spans="2:19" ht="18.5" customHeight="1">
      <c r="B442" s="13">
        <v>548</v>
      </c>
      <c r="C442" s="13" t="s">
        <v>21</v>
      </c>
      <c r="D442" s="14" t="s">
        <v>63</v>
      </c>
      <c r="E442" s="5">
        <v>2045800</v>
      </c>
      <c r="F442" s="5">
        <v>1885700</v>
      </c>
      <c r="G442" s="5">
        <v>0</v>
      </c>
      <c r="H442" s="5">
        <f t="shared" si="137"/>
        <v>1885700</v>
      </c>
      <c r="I442" s="5">
        <f t="shared" si="138"/>
        <v>160100</v>
      </c>
      <c r="J442" s="7">
        <f t="shared" si="139"/>
        <v>0.92174210577769089</v>
      </c>
      <c r="K442" s="6">
        <f t="shared" si="140"/>
        <v>32020</v>
      </c>
      <c r="L442" s="19">
        <v>41610.770000000004</v>
      </c>
    </row>
    <row r="443" spans="2:19" s="24" customFormat="1" ht="18.5" customHeight="1">
      <c r="B443" s="27"/>
      <c r="C443" s="27"/>
      <c r="D443" s="28" t="s">
        <v>22</v>
      </c>
      <c r="E443" s="23">
        <f>SUM(E434:E442)/9</f>
        <v>1662532.4444444445</v>
      </c>
      <c r="F443" s="23">
        <f>SUM(F434:F442)/9</f>
        <v>1586415</v>
      </c>
      <c r="G443" s="23">
        <f>SUM(G434:G442)/9</f>
        <v>45139.666666666664</v>
      </c>
      <c r="H443" s="23">
        <f>SUM(H434:H442)/9</f>
        <v>1631554.6666666667</v>
      </c>
      <c r="I443" s="23">
        <f>SUM(I434:I442)/9</f>
        <v>30977.777777777777</v>
      </c>
      <c r="J443" s="29">
        <f>SUM(H443/E443)</f>
        <v>0.98136711383811259</v>
      </c>
      <c r="K443" s="23">
        <f>SUM(K434:K442)/9</f>
        <v>6195.5555555555557</v>
      </c>
      <c r="L443" s="20">
        <f>SUM(L434:L442)/9</f>
        <v>32744.485555555555</v>
      </c>
      <c r="M443" s="20"/>
    </row>
    <row r="444" spans="2:19" s="24" customFormat="1" ht="12" customHeight="1">
      <c r="B444" s="27"/>
      <c r="C444" s="27"/>
      <c r="D444" s="28"/>
      <c r="E444" s="23"/>
      <c r="F444" s="23"/>
      <c r="G444" s="23"/>
      <c r="H444" s="23"/>
      <c r="I444" s="23"/>
      <c r="J444" s="29"/>
      <c r="K444" s="23"/>
      <c r="L444" s="20"/>
      <c r="M444" s="20"/>
    </row>
    <row r="445" spans="2:19" s="25" customFormat="1" ht="45.95" customHeight="1">
      <c r="B445" s="31" t="s">
        <v>1</v>
      </c>
      <c r="C445" s="31" t="s">
        <v>2</v>
      </c>
      <c r="D445" s="38" t="s">
        <v>3</v>
      </c>
      <c r="E445" s="37" t="s">
        <v>4</v>
      </c>
      <c r="F445" s="32" t="s">
        <v>5</v>
      </c>
      <c r="G445" s="32" t="s">
        <v>6</v>
      </c>
      <c r="H445" s="33" t="s">
        <v>7</v>
      </c>
      <c r="I445" s="33" t="s">
        <v>8</v>
      </c>
      <c r="J445" s="34" t="s">
        <v>9</v>
      </c>
      <c r="K445" s="33" t="s">
        <v>10</v>
      </c>
      <c r="L445" s="35" t="s">
        <v>11</v>
      </c>
      <c r="M445" s="36"/>
      <c r="N445" s="39"/>
      <c r="O445" s="40"/>
      <c r="P445" s="41"/>
      <c r="Q445" s="40"/>
      <c r="R445" s="42"/>
      <c r="S445" s="43"/>
    </row>
    <row r="446" spans="2:19" ht="18.5" customHeight="1">
      <c r="B446" s="13">
        <v>551</v>
      </c>
      <c r="C446" s="13" t="s">
        <v>12</v>
      </c>
      <c r="D446" s="14" t="s">
        <v>64</v>
      </c>
      <c r="E446" s="6">
        <v>35785305</v>
      </c>
      <c r="F446" s="5">
        <v>29049790</v>
      </c>
      <c r="G446" s="5">
        <v>5297265</v>
      </c>
      <c r="H446" s="5">
        <f t="shared" ref="H446:H454" si="141">SUM(F446+G446)</f>
        <v>34347055</v>
      </c>
      <c r="I446" s="5">
        <f t="shared" ref="I446:I454" si="142">SUM(E446-H446)</f>
        <v>1438250</v>
      </c>
      <c r="J446" s="7">
        <f t="shared" ref="J446:J454" si="143">SUM(H446/E446)</f>
        <v>0.95980892156710695</v>
      </c>
      <c r="K446" s="6">
        <f t="shared" ref="K446:K454" si="144">SUM(I446*0.2)</f>
        <v>287650</v>
      </c>
      <c r="L446" s="19">
        <v>770952.67</v>
      </c>
    </row>
    <row r="447" spans="2:19" ht="18.5" customHeight="1">
      <c r="B447" s="13">
        <v>551</v>
      </c>
      <c r="C447" s="13" t="s">
        <v>14</v>
      </c>
      <c r="D447" s="14" t="s">
        <v>64</v>
      </c>
      <c r="E447" s="6">
        <v>44629274</v>
      </c>
      <c r="F447" s="5">
        <v>36886029</v>
      </c>
      <c r="G447" s="5">
        <v>5609626</v>
      </c>
      <c r="H447" s="5">
        <f t="shared" si="141"/>
        <v>42495655</v>
      </c>
      <c r="I447" s="5">
        <f t="shared" si="142"/>
        <v>2133619</v>
      </c>
      <c r="J447" s="7">
        <f t="shared" si="143"/>
        <v>0.95219238834133846</v>
      </c>
      <c r="K447" s="6">
        <f t="shared" si="144"/>
        <v>426723.80000000005</v>
      </c>
      <c r="L447" s="19">
        <v>432829.97</v>
      </c>
    </row>
    <row r="448" spans="2:19" ht="18.5" customHeight="1">
      <c r="B448" s="13">
        <v>551</v>
      </c>
      <c r="C448" s="13" t="s">
        <v>15</v>
      </c>
      <c r="D448" s="14" t="s">
        <v>64</v>
      </c>
      <c r="E448" s="6">
        <v>40422659</v>
      </c>
      <c r="F448" s="5">
        <v>35251443</v>
      </c>
      <c r="G448" s="5">
        <v>3136751</v>
      </c>
      <c r="H448" s="5">
        <f t="shared" si="141"/>
        <v>38388194</v>
      </c>
      <c r="I448" s="5">
        <f t="shared" si="142"/>
        <v>2034465</v>
      </c>
      <c r="J448" s="7">
        <f t="shared" si="143"/>
        <v>0.94967018374521084</v>
      </c>
      <c r="K448" s="6">
        <f t="shared" si="144"/>
        <v>406893</v>
      </c>
      <c r="L448" s="19">
        <v>362197.38</v>
      </c>
    </row>
    <row r="449" spans="2:19" ht="18.5" customHeight="1">
      <c r="B449" s="13">
        <v>551</v>
      </c>
      <c r="C449" s="13" t="s">
        <v>16</v>
      </c>
      <c r="D449" s="14" t="s">
        <v>64</v>
      </c>
      <c r="E449" s="6">
        <v>80048168</v>
      </c>
      <c r="F449" s="5">
        <v>69217202</v>
      </c>
      <c r="G449" s="5">
        <v>3288464</v>
      </c>
      <c r="H449" s="5">
        <f t="shared" si="141"/>
        <v>72505666</v>
      </c>
      <c r="I449" s="5">
        <f t="shared" si="142"/>
        <v>7542502</v>
      </c>
      <c r="J449" s="7">
        <f t="shared" si="143"/>
        <v>0.90577545759698086</v>
      </c>
      <c r="K449" s="6">
        <f t="shared" si="144"/>
        <v>1508500.4000000001</v>
      </c>
      <c r="L449" s="19">
        <v>325251.83999999997</v>
      </c>
    </row>
    <row r="450" spans="2:19" ht="18.5" customHeight="1">
      <c r="B450" s="13">
        <v>551</v>
      </c>
      <c r="C450" s="13" t="s">
        <v>17</v>
      </c>
      <c r="D450" s="14" t="s">
        <v>64</v>
      </c>
      <c r="E450" s="6">
        <v>129320281</v>
      </c>
      <c r="F450" s="5">
        <v>114904868</v>
      </c>
      <c r="G450" s="5">
        <v>5213545</v>
      </c>
      <c r="H450" s="5">
        <f t="shared" si="141"/>
        <v>120118413</v>
      </c>
      <c r="I450" s="5">
        <f t="shared" si="142"/>
        <v>9201868</v>
      </c>
      <c r="J450" s="7">
        <f t="shared" si="143"/>
        <v>0.92884435504745</v>
      </c>
      <c r="K450" s="6">
        <f t="shared" si="144"/>
        <v>1840373.6</v>
      </c>
      <c r="L450" s="19">
        <v>630759</v>
      </c>
    </row>
    <row r="451" spans="2:19" ht="18.5" customHeight="1">
      <c r="B451" s="13">
        <v>551</v>
      </c>
      <c r="C451" s="13" t="s">
        <v>18</v>
      </c>
      <c r="D451" s="14" t="s">
        <v>64</v>
      </c>
      <c r="E451" s="6">
        <v>47663260</v>
      </c>
      <c r="F451" s="5">
        <v>33807001</v>
      </c>
      <c r="G451" s="5">
        <v>5085856</v>
      </c>
      <c r="H451" s="5">
        <f t="shared" si="141"/>
        <v>38892857</v>
      </c>
      <c r="I451" s="5">
        <f t="shared" si="142"/>
        <v>8770403</v>
      </c>
      <c r="J451" s="7">
        <f t="shared" si="143"/>
        <v>0.8159923807142021</v>
      </c>
      <c r="K451" s="6">
        <f t="shared" si="144"/>
        <v>1754080.6</v>
      </c>
      <c r="L451" s="19">
        <v>714433</v>
      </c>
    </row>
    <row r="452" spans="2:19" ht="18.5" customHeight="1">
      <c r="B452" s="13">
        <v>551</v>
      </c>
      <c r="C452" s="13" t="s">
        <v>19</v>
      </c>
      <c r="D452" s="14" t="s">
        <v>64</v>
      </c>
      <c r="E452" s="11">
        <v>53894535</v>
      </c>
      <c r="F452" s="8">
        <v>37866974</v>
      </c>
      <c r="G452" s="8">
        <v>12113722</v>
      </c>
      <c r="H452" s="5">
        <f t="shared" si="141"/>
        <v>49980696</v>
      </c>
      <c r="I452" s="5">
        <f t="shared" si="142"/>
        <v>3913839</v>
      </c>
      <c r="J452" s="7">
        <f t="shared" si="143"/>
        <v>0.92737966845803566</v>
      </c>
      <c r="K452" s="6">
        <f t="shared" si="144"/>
        <v>782767.8</v>
      </c>
      <c r="L452" s="4">
        <v>322726</v>
      </c>
      <c r="M452" s="4"/>
    </row>
    <row r="453" spans="2:19" ht="18.5" customHeight="1">
      <c r="B453" s="13">
        <v>551</v>
      </c>
      <c r="C453" s="13" t="s">
        <v>20</v>
      </c>
      <c r="D453" s="14" t="s">
        <v>64</v>
      </c>
      <c r="E453" s="11">
        <v>52448103</v>
      </c>
      <c r="F453" s="8">
        <v>39869115</v>
      </c>
      <c r="G453" s="8">
        <v>8745050</v>
      </c>
      <c r="H453" s="5">
        <f t="shared" si="141"/>
        <v>48614165</v>
      </c>
      <c r="I453" s="5">
        <f t="shared" si="142"/>
        <v>3833938</v>
      </c>
      <c r="J453" s="7">
        <f t="shared" si="143"/>
        <v>0.92690034947498479</v>
      </c>
      <c r="K453" s="6">
        <f t="shared" si="144"/>
        <v>766787.60000000009</v>
      </c>
      <c r="L453" s="19">
        <v>795718.80999999994</v>
      </c>
    </row>
    <row r="454" spans="2:19" ht="18.5" customHeight="1">
      <c r="B454" s="13">
        <v>551</v>
      </c>
      <c r="C454" s="13" t="s">
        <v>21</v>
      </c>
      <c r="D454" s="14" t="s">
        <v>64</v>
      </c>
      <c r="E454" s="5">
        <v>53479374</v>
      </c>
      <c r="F454" s="5">
        <v>40043540</v>
      </c>
      <c r="G454" s="5">
        <v>9623697</v>
      </c>
      <c r="H454" s="5">
        <f t="shared" si="141"/>
        <v>49667237</v>
      </c>
      <c r="I454" s="5">
        <f t="shared" si="142"/>
        <v>3812137</v>
      </c>
      <c r="J454" s="7">
        <f t="shared" si="143"/>
        <v>0.92871762111501155</v>
      </c>
      <c r="K454" s="6">
        <f t="shared" si="144"/>
        <v>762427.4</v>
      </c>
      <c r="L454" s="19">
        <v>783223.64</v>
      </c>
    </row>
    <row r="455" spans="2:19" s="24" customFormat="1" ht="18.5" customHeight="1">
      <c r="B455" s="27"/>
      <c r="C455" s="27"/>
      <c r="D455" s="28" t="s">
        <v>22</v>
      </c>
      <c r="E455" s="23">
        <f>SUM(E446:E454)/9</f>
        <v>59743439.888888888</v>
      </c>
      <c r="F455" s="23">
        <f>SUM(F446:F454)/9</f>
        <v>48543995.777777776</v>
      </c>
      <c r="G455" s="23">
        <f>SUM(G446:G454)/9</f>
        <v>6457108.444444444</v>
      </c>
      <c r="H455" s="23">
        <f>SUM(H446:H454)/9</f>
        <v>55001104.222222224</v>
      </c>
      <c r="I455" s="23">
        <f>SUM(I446:I454)/9</f>
        <v>4742335.666666667</v>
      </c>
      <c r="J455" s="29">
        <f>SUM(H455/E455)</f>
        <v>0.92062165025170162</v>
      </c>
      <c r="K455" s="23">
        <f>SUM(K446:K454)/9</f>
        <v>948467.13333333342</v>
      </c>
      <c r="L455" s="20">
        <f>SUM(L446:L454)/9</f>
        <v>570899.14555555547</v>
      </c>
      <c r="M455" s="20"/>
    </row>
    <row r="456" spans="2:19" s="24" customFormat="1" ht="18.5" customHeight="1">
      <c r="B456" s="27"/>
      <c r="C456" s="27"/>
      <c r="D456" s="28"/>
      <c r="E456" s="23"/>
      <c r="F456" s="23"/>
      <c r="G456" s="23"/>
      <c r="H456" s="23"/>
      <c r="I456" s="23"/>
      <c r="J456" s="29"/>
      <c r="K456" s="23"/>
      <c r="L456" s="20"/>
      <c r="M456" s="20"/>
    </row>
    <row r="457" spans="2:19" s="25" customFormat="1" ht="45.95" customHeight="1">
      <c r="B457" s="31" t="s">
        <v>1</v>
      </c>
      <c r="C457" s="31" t="s">
        <v>2</v>
      </c>
      <c r="D457" s="38" t="s">
        <v>3</v>
      </c>
      <c r="E457" s="37" t="s">
        <v>4</v>
      </c>
      <c r="F457" s="32" t="s">
        <v>5</v>
      </c>
      <c r="G457" s="32" t="s">
        <v>6</v>
      </c>
      <c r="H457" s="33" t="s">
        <v>7</v>
      </c>
      <c r="I457" s="33" t="s">
        <v>8</v>
      </c>
      <c r="J457" s="34" t="s">
        <v>9</v>
      </c>
      <c r="K457" s="33" t="s">
        <v>10</v>
      </c>
      <c r="L457" s="35" t="s">
        <v>11</v>
      </c>
      <c r="M457" s="36"/>
      <c r="N457" s="39"/>
      <c r="O457" s="40"/>
      <c r="P457" s="41"/>
      <c r="Q457" s="40"/>
      <c r="R457" s="42"/>
      <c r="S457" s="43"/>
    </row>
    <row r="458" spans="2:19" ht="18.5" customHeight="1">
      <c r="B458" s="13">
        <v>557</v>
      </c>
      <c r="C458" s="13" t="s">
        <v>12</v>
      </c>
      <c r="D458" s="14" t="s">
        <v>65</v>
      </c>
      <c r="E458" s="6">
        <v>283417991</v>
      </c>
      <c r="F458" s="5">
        <v>173577436</v>
      </c>
      <c r="G458" s="5">
        <v>39714539</v>
      </c>
      <c r="H458" s="5">
        <f t="shared" ref="H458:H466" si="145">SUM(F458+G458)</f>
        <v>213291975</v>
      </c>
      <c r="I458" s="5">
        <f t="shared" ref="I458:I466" si="146">SUM(E458-H458)</f>
        <v>70126016</v>
      </c>
      <c r="J458" s="7">
        <f t="shared" ref="J458:J466" si="147">SUM(H458/E458)</f>
        <v>0.75257034406118561</v>
      </c>
      <c r="K458" s="6">
        <f t="shared" ref="K458:K466" si="148">SUM(I458*0.2)</f>
        <v>14025203.200000001</v>
      </c>
      <c r="L458" s="19">
        <v>24424451.550000001</v>
      </c>
    </row>
    <row r="459" spans="2:19" ht="18.5" customHeight="1">
      <c r="B459" s="13">
        <v>557</v>
      </c>
      <c r="C459" s="13" t="s">
        <v>14</v>
      </c>
      <c r="D459" s="14" t="s">
        <v>65</v>
      </c>
      <c r="E459" s="6">
        <v>295455696</v>
      </c>
      <c r="F459" s="5">
        <v>177930769</v>
      </c>
      <c r="G459" s="5">
        <v>59521849</v>
      </c>
      <c r="H459" s="5">
        <f t="shared" si="145"/>
        <v>237452618</v>
      </c>
      <c r="I459" s="5">
        <f t="shared" si="146"/>
        <v>58003078</v>
      </c>
      <c r="J459" s="7">
        <f t="shared" si="147"/>
        <v>0.80368265433610053</v>
      </c>
      <c r="K459" s="6">
        <f t="shared" si="148"/>
        <v>11600615.600000001</v>
      </c>
      <c r="L459" s="19">
        <v>38609755.660000004</v>
      </c>
    </row>
    <row r="460" spans="2:19" ht="18.5" customHeight="1">
      <c r="B460" s="13">
        <v>557</v>
      </c>
      <c r="C460" s="13" t="s">
        <v>15</v>
      </c>
      <c r="D460" s="14" t="s">
        <v>65</v>
      </c>
      <c r="E460" s="6">
        <v>310579004</v>
      </c>
      <c r="F460" s="5">
        <v>184143457</v>
      </c>
      <c r="G460" s="5">
        <v>69203244</v>
      </c>
      <c r="H460" s="5">
        <f t="shared" si="145"/>
        <v>253346701</v>
      </c>
      <c r="I460" s="5">
        <f t="shared" si="146"/>
        <v>57232303</v>
      </c>
      <c r="J460" s="7">
        <f t="shared" si="147"/>
        <v>0.81572385041198725</v>
      </c>
      <c r="K460" s="6">
        <f t="shared" si="148"/>
        <v>11446460.600000001</v>
      </c>
      <c r="L460" s="19">
        <v>60897841.450000003</v>
      </c>
    </row>
    <row r="461" spans="2:19" ht="18.5" customHeight="1">
      <c r="B461" s="13">
        <v>557</v>
      </c>
      <c r="C461" s="13" t="s">
        <v>16</v>
      </c>
      <c r="D461" s="14" t="s">
        <v>65</v>
      </c>
      <c r="E461" s="6">
        <v>321806600</v>
      </c>
      <c r="F461" s="5">
        <v>139902200</v>
      </c>
      <c r="G461" s="5">
        <v>0</v>
      </c>
      <c r="H461" s="5">
        <f t="shared" si="145"/>
        <v>139902200</v>
      </c>
      <c r="I461" s="5">
        <f t="shared" si="146"/>
        <v>181904400</v>
      </c>
      <c r="J461" s="7">
        <f t="shared" si="147"/>
        <v>0.43473999601002589</v>
      </c>
      <c r="K461" s="6">
        <f t="shared" si="148"/>
        <v>36380880</v>
      </c>
      <c r="L461" s="19">
        <v>62183214.590000004</v>
      </c>
    </row>
    <row r="462" spans="2:19" ht="18.5" customHeight="1">
      <c r="B462" s="13">
        <v>557</v>
      </c>
      <c r="C462" s="13" t="s">
        <v>17</v>
      </c>
      <c r="D462" s="14" t="s">
        <v>65</v>
      </c>
      <c r="E462" s="6">
        <v>336261048</v>
      </c>
      <c r="F462" s="5">
        <v>138691481</v>
      </c>
      <c r="G462" s="5">
        <v>0</v>
      </c>
      <c r="H462" s="5">
        <f t="shared" si="145"/>
        <v>138691481</v>
      </c>
      <c r="I462" s="5">
        <f t="shared" si="146"/>
        <v>197569567</v>
      </c>
      <c r="J462" s="7">
        <f t="shared" si="147"/>
        <v>0.41245181927821745</v>
      </c>
      <c r="K462" s="6">
        <f t="shared" si="148"/>
        <v>39513913.399999999</v>
      </c>
      <c r="L462" s="19">
        <v>57511459</v>
      </c>
    </row>
    <row r="463" spans="2:19" ht="18.5" customHeight="1">
      <c r="B463" s="13">
        <v>557</v>
      </c>
      <c r="C463" s="13" t="s">
        <v>18</v>
      </c>
      <c r="D463" s="14" t="s">
        <v>65</v>
      </c>
      <c r="E463" s="50">
        <v>355000577</v>
      </c>
      <c r="F463" s="51">
        <v>187607533</v>
      </c>
      <c r="G463" s="5">
        <v>0</v>
      </c>
      <c r="H463" s="5">
        <f t="shared" si="145"/>
        <v>187607533</v>
      </c>
      <c r="I463" s="5">
        <f t="shared" si="146"/>
        <v>167393044</v>
      </c>
      <c r="J463" s="7">
        <f t="shared" si="147"/>
        <v>0.52847106499209995</v>
      </c>
      <c r="K463" s="6">
        <f t="shared" si="148"/>
        <v>33478608.800000001</v>
      </c>
      <c r="L463" s="19">
        <v>104867311</v>
      </c>
    </row>
    <row r="464" spans="2:19" ht="18.5" customHeight="1">
      <c r="B464" s="13">
        <v>557</v>
      </c>
      <c r="C464" s="13" t="s">
        <v>19</v>
      </c>
      <c r="D464" s="14" t="s">
        <v>65</v>
      </c>
      <c r="E464" s="6">
        <v>365373539</v>
      </c>
      <c r="F464" s="51">
        <v>187500358</v>
      </c>
      <c r="G464" s="5">
        <v>0</v>
      </c>
      <c r="H464" s="5">
        <f t="shared" si="145"/>
        <v>187500358</v>
      </c>
      <c r="I464" s="5">
        <f t="shared" si="146"/>
        <v>177873181</v>
      </c>
      <c r="J464" s="7">
        <f t="shared" si="147"/>
        <v>0.51317443105807392</v>
      </c>
      <c r="K464" s="6">
        <f t="shared" si="148"/>
        <v>35574636.200000003</v>
      </c>
      <c r="L464" s="4">
        <v>108691415</v>
      </c>
      <c r="M464" s="4"/>
    </row>
    <row r="465" spans="2:19" s="15" customFormat="1" ht="18.5" customHeight="1">
      <c r="B465" s="16">
        <v>557</v>
      </c>
      <c r="C465" s="16" t="s">
        <v>20</v>
      </c>
      <c r="D465" s="17" t="s">
        <v>65</v>
      </c>
      <c r="E465" s="11">
        <v>382552532</v>
      </c>
      <c r="F465" s="51">
        <v>192472164</v>
      </c>
      <c r="G465" s="8">
        <v>0</v>
      </c>
      <c r="H465" s="5">
        <f t="shared" si="145"/>
        <v>192472164</v>
      </c>
      <c r="I465" s="5">
        <f t="shared" si="146"/>
        <v>190080368</v>
      </c>
      <c r="J465" s="7">
        <f t="shared" si="147"/>
        <v>0.50312610138468516</v>
      </c>
      <c r="K465" s="6">
        <f t="shared" si="148"/>
        <v>38016073.600000001</v>
      </c>
      <c r="L465" s="19">
        <v>106656120.78999999</v>
      </c>
      <c r="M465" s="19"/>
    </row>
    <row r="466" spans="2:19" s="15" customFormat="1" ht="18.5" customHeight="1">
      <c r="B466" s="16">
        <v>557</v>
      </c>
      <c r="C466" s="13" t="s">
        <v>21</v>
      </c>
      <c r="D466" s="17" t="s">
        <v>65</v>
      </c>
      <c r="E466" s="5">
        <v>381710443</v>
      </c>
      <c r="F466" s="5">
        <v>198871029</v>
      </c>
      <c r="G466" s="5">
        <v>0</v>
      </c>
      <c r="H466" s="5">
        <f t="shared" si="145"/>
        <v>198871029</v>
      </c>
      <c r="I466" s="5">
        <f t="shared" si="146"/>
        <v>182839414</v>
      </c>
      <c r="J466" s="7">
        <f t="shared" si="147"/>
        <v>0.52099970709997057</v>
      </c>
      <c r="K466" s="6">
        <f t="shared" si="148"/>
        <v>36567882.800000004</v>
      </c>
      <c r="L466" s="19">
        <v>101471940.32000001</v>
      </c>
      <c r="M466" s="19"/>
    </row>
    <row r="467" spans="2:19" s="24" customFormat="1" ht="18.5" customHeight="1">
      <c r="B467" s="27"/>
      <c r="C467" s="27"/>
      <c r="D467" s="28" t="s">
        <v>22</v>
      </c>
      <c r="E467" s="23">
        <f>SUM(E458:E466)/9</f>
        <v>336906381.1111111</v>
      </c>
      <c r="F467" s="23">
        <f>SUM(F458:F466)/9</f>
        <v>175632936.33333334</v>
      </c>
      <c r="G467" s="23">
        <f>SUM(G458:G466)/9</f>
        <v>18715514.666666668</v>
      </c>
      <c r="H467" s="23">
        <f>SUM(H458:H466)/9</f>
        <v>194348451</v>
      </c>
      <c r="I467" s="23">
        <f>SUM(I458:I466)/9</f>
        <v>142557930.1111111</v>
      </c>
      <c r="J467" s="29">
        <f>SUM(H467/E467)</f>
        <v>0.57686188774175884</v>
      </c>
      <c r="K467" s="23">
        <f>SUM(K458:K466)/9</f>
        <v>28511586.022222225</v>
      </c>
      <c r="L467" s="20">
        <f>SUM(L458:L466)/9</f>
        <v>73923723.26222223</v>
      </c>
      <c r="M467" s="20"/>
    </row>
    <row r="468" spans="2:19" s="24" customFormat="1" ht="18.5" customHeight="1">
      <c r="B468" s="27"/>
      <c r="C468" s="27"/>
      <c r="D468" s="28"/>
      <c r="E468" s="23"/>
      <c r="F468" s="23"/>
      <c r="G468" s="23"/>
      <c r="H468" s="23"/>
      <c r="I468" s="23"/>
      <c r="J468" s="29"/>
      <c r="K468" s="23"/>
      <c r="L468" s="20"/>
      <c r="M468" s="20"/>
    </row>
    <row r="469" spans="2:19" s="25" customFormat="1" ht="45.95" customHeight="1">
      <c r="B469" s="31" t="s">
        <v>1</v>
      </c>
      <c r="C469" s="31" t="s">
        <v>2</v>
      </c>
      <c r="D469" s="38" t="s">
        <v>3</v>
      </c>
      <c r="E469" s="37" t="s">
        <v>4</v>
      </c>
      <c r="F469" s="32" t="s">
        <v>5</v>
      </c>
      <c r="G469" s="32" t="s">
        <v>6</v>
      </c>
      <c r="H469" s="33" t="s">
        <v>7</v>
      </c>
      <c r="I469" s="33" t="s">
        <v>8</v>
      </c>
      <c r="J469" s="34" t="s">
        <v>9</v>
      </c>
      <c r="K469" s="33" t="s">
        <v>10</v>
      </c>
      <c r="L469" s="35" t="s">
        <v>11</v>
      </c>
      <c r="M469" s="36"/>
      <c r="N469" s="39"/>
      <c r="O469" s="40"/>
      <c r="P469" s="41"/>
      <c r="Q469" s="40"/>
      <c r="R469" s="42"/>
      <c r="S469" s="43"/>
    </row>
    <row r="470" spans="2:19" ht="18.5" customHeight="1">
      <c r="B470" s="13">
        <v>563</v>
      </c>
      <c r="C470" s="13" t="s">
        <v>12</v>
      </c>
      <c r="D470" s="14" t="s">
        <v>66</v>
      </c>
      <c r="E470" s="6">
        <v>24732100</v>
      </c>
      <c r="F470" s="5">
        <v>21540500</v>
      </c>
      <c r="G470" s="5">
        <v>3117470</v>
      </c>
      <c r="H470" s="5">
        <f t="shared" ref="H470:H478" si="149">SUM(F470+G470)</f>
        <v>24657970</v>
      </c>
      <c r="I470" s="5">
        <f t="shared" ref="I470:I478" si="150">SUM(E470-H470)</f>
        <v>74130</v>
      </c>
      <c r="J470" s="7">
        <f t="shared" ref="J470:J478" si="151">SUM(H470/E470)</f>
        <v>0.99700268072666698</v>
      </c>
      <c r="K470" s="6">
        <f t="shared" ref="K470:K478" si="152">SUM(I470*0.2)</f>
        <v>14826</v>
      </c>
      <c r="L470" s="19">
        <v>51491.89</v>
      </c>
    </row>
    <row r="471" spans="2:19" ht="18.5" customHeight="1">
      <c r="B471" s="13">
        <v>563</v>
      </c>
      <c r="C471" s="13" t="s">
        <v>14</v>
      </c>
      <c r="D471" s="14" t="s">
        <v>66</v>
      </c>
      <c r="E471" s="6">
        <v>26552100</v>
      </c>
      <c r="F471" s="5">
        <v>23443400</v>
      </c>
      <c r="G471" s="5">
        <v>3061350</v>
      </c>
      <c r="H471" s="5">
        <f t="shared" si="149"/>
        <v>26504750</v>
      </c>
      <c r="I471" s="5">
        <f t="shared" si="150"/>
        <v>47350</v>
      </c>
      <c r="J471" s="7">
        <f t="shared" si="151"/>
        <v>0.99821671355561326</v>
      </c>
      <c r="K471" s="6">
        <f t="shared" si="152"/>
        <v>9470</v>
      </c>
      <c r="L471" s="19">
        <v>40104.49</v>
      </c>
    </row>
    <row r="472" spans="2:19" ht="18.5" customHeight="1">
      <c r="B472" s="13">
        <v>563</v>
      </c>
      <c r="C472" s="13" t="s">
        <v>15</v>
      </c>
      <c r="D472" s="14" t="s">
        <v>66</v>
      </c>
      <c r="E472" s="6">
        <v>27572600</v>
      </c>
      <c r="F472" s="5">
        <v>24628700</v>
      </c>
      <c r="G472" s="5">
        <v>2890500</v>
      </c>
      <c r="H472" s="5">
        <f t="shared" si="149"/>
        <v>27519200</v>
      </c>
      <c r="I472" s="5">
        <f t="shared" si="150"/>
        <v>53400</v>
      </c>
      <c r="J472" s="7">
        <f t="shared" si="151"/>
        <v>0.99806329472012068</v>
      </c>
      <c r="K472" s="6">
        <f t="shared" si="152"/>
        <v>10680</v>
      </c>
      <c r="L472" s="19">
        <v>41215.74</v>
      </c>
    </row>
    <row r="473" spans="2:19" ht="18.5" customHeight="1">
      <c r="B473" s="13">
        <v>563</v>
      </c>
      <c r="C473" s="13" t="s">
        <v>16</v>
      </c>
      <c r="D473" s="14" t="s">
        <v>66</v>
      </c>
      <c r="E473" s="6">
        <v>28773000</v>
      </c>
      <c r="F473" s="5">
        <v>25758400</v>
      </c>
      <c r="G473" s="5">
        <v>2961000</v>
      </c>
      <c r="H473" s="5">
        <f t="shared" si="149"/>
        <v>28719400</v>
      </c>
      <c r="I473" s="5">
        <f t="shared" si="150"/>
        <v>53600</v>
      </c>
      <c r="J473" s="7">
        <f t="shared" si="151"/>
        <v>0.99813714245994511</v>
      </c>
      <c r="K473" s="6">
        <f t="shared" si="152"/>
        <v>10720</v>
      </c>
      <c r="L473" s="19">
        <v>4487.8100000000004</v>
      </c>
    </row>
    <row r="474" spans="2:19" ht="18.5" customHeight="1">
      <c r="B474" s="13">
        <v>563</v>
      </c>
      <c r="C474" s="13" t="s">
        <v>17</v>
      </c>
      <c r="D474" s="14" t="s">
        <v>66</v>
      </c>
      <c r="E474" s="6">
        <v>29038900</v>
      </c>
      <c r="F474" s="5">
        <v>25902200</v>
      </c>
      <c r="G474" s="5">
        <v>3086700</v>
      </c>
      <c r="H474" s="5">
        <f t="shared" si="149"/>
        <v>28988900</v>
      </c>
      <c r="I474" s="5">
        <f t="shared" si="150"/>
        <v>50000</v>
      </c>
      <c r="J474" s="7">
        <f t="shared" si="151"/>
        <v>0.99827817169383137</v>
      </c>
      <c r="K474" s="6">
        <f t="shared" si="152"/>
        <v>10000</v>
      </c>
      <c r="L474" s="19">
        <v>48360</v>
      </c>
    </row>
    <row r="475" spans="2:19" ht="18.5" customHeight="1">
      <c r="B475" s="13">
        <v>563</v>
      </c>
      <c r="C475" s="13" t="s">
        <v>18</v>
      </c>
      <c r="D475" s="14" t="s">
        <v>66</v>
      </c>
      <c r="E475" s="6">
        <v>30582800</v>
      </c>
      <c r="F475" s="5">
        <v>24869300</v>
      </c>
      <c r="G475" s="5">
        <v>5664600</v>
      </c>
      <c r="H475" s="5">
        <f t="shared" si="149"/>
        <v>30533900</v>
      </c>
      <c r="I475" s="5">
        <f t="shared" si="150"/>
        <v>48900</v>
      </c>
      <c r="J475" s="7">
        <f t="shared" si="151"/>
        <v>0.99840106203486922</v>
      </c>
      <c r="K475" s="6">
        <f t="shared" si="152"/>
        <v>9780</v>
      </c>
      <c r="L475" s="19">
        <v>45991</v>
      </c>
    </row>
    <row r="476" spans="2:19" ht="18.5" customHeight="1">
      <c r="B476" s="13">
        <v>563</v>
      </c>
      <c r="C476" s="13" t="s">
        <v>19</v>
      </c>
      <c r="D476" s="14" t="s">
        <v>66</v>
      </c>
      <c r="E476" s="11">
        <v>30505900</v>
      </c>
      <c r="F476" s="8">
        <v>24577000</v>
      </c>
      <c r="G476" s="8">
        <v>5893000</v>
      </c>
      <c r="H476" s="5">
        <f t="shared" si="149"/>
        <v>30470000</v>
      </c>
      <c r="I476" s="5">
        <f t="shared" si="150"/>
        <v>35900</v>
      </c>
      <c r="J476" s="7">
        <f t="shared" si="151"/>
        <v>0.99882317846711621</v>
      </c>
      <c r="K476" s="6">
        <f t="shared" si="152"/>
        <v>7180</v>
      </c>
      <c r="L476" s="4">
        <v>179100</v>
      </c>
      <c r="M476" s="4"/>
    </row>
    <row r="477" spans="2:19" ht="18.5" customHeight="1">
      <c r="B477" s="13">
        <v>563</v>
      </c>
      <c r="C477" s="13" t="s">
        <v>20</v>
      </c>
      <c r="D477" s="14" t="s">
        <v>66</v>
      </c>
      <c r="E477" s="11">
        <v>30499600</v>
      </c>
      <c r="F477" s="8">
        <v>25670300</v>
      </c>
      <c r="G477" s="8">
        <v>4790300</v>
      </c>
      <c r="H477" s="5">
        <f t="shared" si="149"/>
        <v>30460600</v>
      </c>
      <c r="I477" s="5">
        <f t="shared" si="150"/>
        <v>39000</v>
      </c>
      <c r="J477" s="7">
        <f t="shared" si="151"/>
        <v>0.9987212947055043</v>
      </c>
      <c r="K477" s="6">
        <f t="shared" si="152"/>
        <v>7800</v>
      </c>
      <c r="L477" s="19">
        <v>42460.810000000005</v>
      </c>
    </row>
    <row r="478" spans="2:19" ht="18.5" customHeight="1">
      <c r="B478" s="13">
        <v>563</v>
      </c>
      <c r="C478" s="13" t="s">
        <v>21</v>
      </c>
      <c r="D478" s="14" t="s">
        <v>66</v>
      </c>
      <c r="E478" s="5">
        <v>28872400</v>
      </c>
      <c r="F478" s="5">
        <v>25018400</v>
      </c>
      <c r="G478" s="5">
        <v>3768300</v>
      </c>
      <c r="H478" s="5">
        <f t="shared" si="149"/>
        <v>28786700</v>
      </c>
      <c r="I478" s="5">
        <f t="shared" si="150"/>
        <v>85700</v>
      </c>
      <c r="J478" s="7">
        <f t="shared" si="151"/>
        <v>0.99703176736260235</v>
      </c>
      <c r="K478" s="6">
        <f t="shared" si="152"/>
        <v>17140</v>
      </c>
      <c r="L478" s="19">
        <v>174116.62</v>
      </c>
    </row>
    <row r="479" spans="2:19" s="24" customFormat="1" ht="18.5" customHeight="1">
      <c r="B479" s="27"/>
      <c r="C479" s="27"/>
      <c r="D479" s="28" t="s">
        <v>22</v>
      </c>
      <c r="E479" s="23">
        <f>SUM(E470:E478)/9</f>
        <v>28569933.333333332</v>
      </c>
      <c r="F479" s="23">
        <f>SUM(F470:F478)/9</f>
        <v>24600911.111111112</v>
      </c>
      <c r="G479" s="23">
        <f>SUM(G470:G478)/9</f>
        <v>3914802.222222222</v>
      </c>
      <c r="H479" s="23">
        <f>SUM(H470:H478)/9</f>
        <v>28515713.333333332</v>
      </c>
      <c r="I479" s="23">
        <f>SUM(I470:I478)/9</f>
        <v>54220</v>
      </c>
      <c r="J479" s="29">
        <f>SUM(H479/E479)</f>
        <v>0.99810220068183564</v>
      </c>
      <c r="K479" s="23">
        <f>SUM(K470:K478)/9</f>
        <v>10844</v>
      </c>
      <c r="L479" s="20">
        <f>SUM(L470:L478)/9</f>
        <v>69703.151111111103</v>
      </c>
      <c r="M479" s="20"/>
    </row>
    <row r="480" spans="2:19" s="24" customFormat="1" ht="18.5" customHeight="1">
      <c r="B480" s="27"/>
      <c r="C480" s="27"/>
      <c r="D480" s="28"/>
      <c r="E480" s="23"/>
      <c r="F480" s="23"/>
      <c r="G480" s="23"/>
      <c r="H480" s="23"/>
      <c r="I480" s="23"/>
      <c r="J480" s="29"/>
      <c r="K480" s="23"/>
      <c r="L480" s="20"/>
      <c r="M480" s="20"/>
    </row>
    <row r="481" spans="2:19" s="25" customFormat="1" ht="45.95" customHeight="1">
      <c r="B481" s="31" t="s">
        <v>1</v>
      </c>
      <c r="C481" s="31" t="s">
        <v>2</v>
      </c>
      <c r="D481" s="38" t="s">
        <v>3</v>
      </c>
      <c r="E481" s="37" t="s">
        <v>4</v>
      </c>
      <c r="F481" s="32" t="s">
        <v>5</v>
      </c>
      <c r="G481" s="32" t="s">
        <v>6</v>
      </c>
      <c r="H481" s="33" t="s">
        <v>7</v>
      </c>
      <c r="I481" s="33" t="s">
        <v>8</v>
      </c>
      <c r="J481" s="34" t="s">
        <v>9</v>
      </c>
      <c r="K481" s="33" t="s">
        <v>10</v>
      </c>
      <c r="L481" s="35" t="s">
        <v>11</v>
      </c>
      <c r="M481" s="36"/>
      <c r="N481" s="39"/>
      <c r="O481" s="40"/>
      <c r="P481" s="41"/>
      <c r="Q481" s="40"/>
      <c r="R481" s="42"/>
      <c r="S481" s="43"/>
    </row>
    <row r="482" spans="2:19" ht="18.5" customHeight="1">
      <c r="B482" s="13">
        <v>565</v>
      </c>
      <c r="C482" s="13" t="s">
        <v>12</v>
      </c>
      <c r="D482" s="14" t="s">
        <v>67</v>
      </c>
      <c r="E482" s="6">
        <v>167890400</v>
      </c>
      <c r="F482" s="5">
        <v>128999400</v>
      </c>
      <c r="G482" s="5">
        <v>38891000</v>
      </c>
      <c r="H482" s="5">
        <f t="shared" ref="H482:H490" si="153">SUM(F482+G482)</f>
        <v>167890400</v>
      </c>
      <c r="I482" s="5">
        <f t="shared" ref="I482:I490" si="154">SUM(E482-H482)</f>
        <v>0</v>
      </c>
      <c r="J482" s="7">
        <f t="shared" ref="J482:J490" si="155">SUM(H482/E482)</f>
        <v>1</v>
      </c>
      <c r="K482" s="6">
        <f t="shared" ref="K482:K490" si="156">SUM(I482*0.2)</f>
        <v>0</v>
      </c>
      <c r="L482" s="19">
        <v>2030952.46</v>
      </c>
    </row>
    <row r="483" spans="2:19" ht="18.5" customHeight="1">
      <c r="B483" s="13">
        <v>565</v>
      </c>
      <c r="C483" s="13" t="s">
        <v>14</v>
      </c>
      <c r="D483" s="14" t="s">
        <v>67</v>
      </c>
      <c r="E483" s="6">
        <v>172423000</v>
      </c>
      <c r="F483" s="5">
        <v>135255000</v>
      </c>
      <c r="G483" s="5">
        <v>37168000</v>
      </c>
      <c r="H483" s="5">
        <f t="shared" si="153"/>
        <v>172423000</v>
      </c>
      <c r="I483" s="5">
        <f t="shared" si="154"/>
        <v>0</v>
      </c>
      <c r="J483" s="7">
        <f t="shared" si="155"/>
        <v>1</v>
      </c>
      <c r="K483" s="6">
        <f t="shared" si="156"/>
        <v>0</v>
      </c>
      <c r="L483" s="19">
        <v>1011886.3800000001</v>
      </c>
    </row>
    <row r="484" spans="2:19" ht="18.5" customHeight="1">
      <c r="B484" s="13">
        <v>565</v>
      </c>
      <c r="C484" s="13" t="s">
        <v>15</v>
      </c>
      <c r="D484" s="14" t="s">
        <v>67</v>
      </c>
      <c r="E484" s="6">
        <v>170319000</v>
      </c>
      <c r="F484" s="5">
        <v>132156000</v>
      </c>
      <c r="G484" s="5">
        <v>38119700</v>
      </c>
      <c r="H484" s="5">
        <f t="shared" si="153"/>
        <v>170275700</v>
      </c>
      <c r="I484" s="5">
        <f t="shared" si="154"/>
        <v>43300</v>
      </c>
      <c r="J484" s="7">
        <f t="shared" si="155"/>
        <v>0.99974577117056818</v>
      </c>
      <c r="K484" s="6">
        <f t="shared" si="156"/>
        <v>8660</v>
      </c>
      <c r="L484" s="19">
        <v>1322964.8100000003</v>
      </c>
    </row>
    <row r="485" spans="2:19" ht="18.5" customHeight="1">
      <c r="B485" s="13">
        <v>565</v>
      </c>
      <c r="C485" s="13" t="s">
        <v>16</v>
      </c>
      <c r="D485" s="14" t="s">
        <v>67</v>
      </c>
      <c r="E485" s="6">
        <v>161580200</v>
      </c>
      <c r="F485" s="5">
        <v>118987600</v>
      </c>
      <c r="G485" s="5">
        <v>42538800</v>
      </c>
      <c r="H485" s="5">
        <f t="shared" si="153"/>
        <v>161526400</v>
      </c>
      <c r="I485" s="5">
        <f t="shared" si="154"/>
        <v>53800</v>
      </c>
      <c r="J485" s="7">
        <f t="shared" si="155"/>
        <v>0.99966703841188465</v>
      </c>
      <c r="K485" s="6">
        <f t="shared" si="156"/>
        <v>10760</v>
      </c>
      <c r="L485" s="19">
        <v>1717080.6199999999</v>
      </c>
    </row>
    <row r="486" spans="2:19" ht="18.5" customHeight="1">
      <c r="B486" s="13">
        <v>565</v>
      </c>
      <c r="C486" s="13" t="s">
        <v>17</v>
      </c>
      <c r="D486" s="14" t="s">
        <v>67</v>
      </c>
      <c r="E486" s="6">
        <v>154641200</v>
      </c>
      <c r="F486" s="5">
        <v>115336600</v>
      </c>
      <c r="G486" s="5">
        <v>39250400</v>
      </c>
      <c r="H486" s="5">
        <f t="shared" si="153"/>
        <v>154587000</v>
      </c>
      <c r="I486" s="5">
        <f t="shared" si="154"/>
        <v>54200</v>
      </c>
      <c r="J486" s="7">
        <f t="shared" si="155"/>
        <v>0.99964951125573265</v>
      </c>
      <c r="K486" s="6">
        <f t="shared" si="156"/>
        <v>10840</v>
      </c>
      <c r="L486" s="19">
        <v>1083156</v>
      </c>
    </row>
    <row r="487" spans="2:19" ht="18.5" customHeight="1">
      <c r="B487" s="13">
        <v>565</v>
      </c>
      <c r="C487" s="13" t="s">
        <v>18</v>
      </c>
      <c r="D487" s="14" t="s">
        <v>67</v>
      </c>
      <c r="E487" s="6">
        <v>157037200</v>
      </c>
      <c r="F487" s="5">
        <v>118782900</v>
      </c>
      <c r="G487" s="5">
        <v>38199100</v>
      </c>
      <c r="H487" s="5">
        <f t="shared" si="153"/>
        <v>156982000</v>
      </c>
      <c r="I487" s="5">
        <f t="shared" si="154"/>
        <v>55200</v>
      </c>
      <c r="J487" s="7">
        <f t="shared" si="155"/>
        <v>0.99964849093081132</v>
      </c>
      <c r="K487" s="6">
        <f t="shared" si="156"/>
        <v>11040</v>
      </c>
      <c r="L487" s="19">
        <v>1709048</v>
      </c>
    </row>
    <row r="488" spans="2:19" ht="18.5" customHeight="1">
      <c r="B488" s="13">
        <v>565</v>
      </c>
      <c r="C488" s="13" t="s">
        <v>19</v>
      </c>
      <c r="D488" s="14" t="s">
        <v>67</v>
      </c>
      <c r="E488" s="8">
        <v>154288900</v>
      </c>
      <c r="F488" s="8">
        <v>118808000</v>
      </c>
      <c r="G488" s="8">
        <v>35429500</v>
      </c>
      <c r="H488" s="5">
        <f t="shared" si="153"/>
        <v>154237500</v>
      </c>
      <c r="I488" s="5">
        <f t="shared" si="154"/>
        <v>51400</v>
      </c>
      <c r="J488" s="7">
        <f t="shared" si="155"/>
        <v>0.99966685873060213</v>
      </c>
      <c r="K488" s="6">
        <f t="shared" si="156"/>
        <v>10280</v>
      </c>
      <c r="L488" s="4">
        <v>1361473</v>
      </c>
      <c r="M488" s="4"/>
    </row>
    <row r="489" spans="2:19" ht="18.5" customHeight="1">
      <c r="B489" s="13">
        <v>565</v>
      </c>
      <c r="C489" s="13" t="s">
        <v>20</v>
      </c>
      <c r="D489" s="14" t="s">
        <v>67</v>
      </c>
      <c r="E489" s="8">
        <v>182071300</v>
      </c>
      <c r="F489" s="8">
        <v>120409400</v>
      </c>
      <c r="G489" s="8">
        <v>61564900</v>
      </c>
      <c r="H489" s="5">
        <f t="shared" si="153"/>
        <v>181974300</v>
      </c>
      <c r="I489" s="5">
        <f t="shared" si="154"/>
        <v>97000</v>
      </c>
      <c r="J489" s="7">
        <f t="shared" si="155"/>
        <v>0.99946724167949585</v>
      </c>
      <c r="K489" s="6">
        <f t="shared" si="156"/>
        <v>19400</v>
      </c>
      <c r="L489" s="19">
        <v>140706.61000000002</v>
      </c>
    </row>
    <row r="490" spans="2:19" ht="18.5" customHeight="1">
      <c r="B490" s="13">
        <v>565</v>
      </c>
      <c r="C490" s="13" t="s">
        <v>21</v>
      </c>
      <c r="D490" s="14" t="s">
        <v>67</v>
      </c>
      <c r="E490" s="5">
        <v>231714000</v>
      </c>
      <c r="F490" s="5">
        <v>163413000</v>
      </c>
      <c r="G490" s="5">
        <v>68091000</v>
      </c>
      <c r="H490" s="5">
        <f t="shared" si="153"/>
        <v>231504000</v>
      </c>
      <c r="I490" s="5">
        <f t="shared" si="154"/>
        <v>210000</v>
      </c>
      <c r="J490" s="7">
        <f t="shared" si="155"/>
        <v>0.99909371034982786</v>
      </c>
      <c r="K490" s="6">
        <f t="shared" si="156"/>
        <v>42000</v>
      </c>
      <c r="L490" s="19">
        <v>1630857.73</v>
      </c>
    </row>
    <row r="491" spans="2:19" s="24" customFormat="1" ht="18.5" customHeight="1">
      <c r="B491" s="27"/>
      <c r="C491" s="27"/>
      <c r="D491" s="28" t="s">
        <v>22</v>
      </c>
      <c r="E491" s="23">
        <f>SUM(E482:E490)/9</f>
        <v>172440577.77777779</v>
      </c>
      <c r="F491" s="23">
        <f>SUM(F482:F490)/9</f>
        <v>128016433.33333333</v>
      </c>
      <c r="G491" s="23">
        <f>SUM(G482:G490)/9</f>
        <v>44361377.777777776</v>
      </c>
      <c r="H491" s="23">
        <f>SUM(H482:H490)/9</f>
        <v>172377811.1111111</v>
      </c>
      <c r="I491" s="23">
        <f>SUM(I482:I490)/9</f>
        <v>62766.666666666664</v>
      </c>
      <c r="J491" s="30">
        <f>SUM(H491/E491)</f>
        <v>0.99963600987960288</v>
      </c>
      <c r="K491" s="23">
        <f>SUM(K482:K490)/9</f>
        <v>12553.333333333334</v>
      </c>
      <c r="L491" s="20">
        <f>SUM(L482:L490)/9</f>
        <v>1334236.1788888888</v>
      </c>
      <c r="M491" s="20"/>
    </row>
    <row r="492" spans="2:19" s="24" customFormat="1" ht="18.5" customHeight="1">
      <c r="B492" s="27"/>
      <c r="C492" s="27"/>
      <c r="D492" s="28"/>
      <c r="E492" s="23"/>
      <c r="F492" s="23"/>
      <c r="G492" s="23"/>
      <c r="H492" s="23"/>
      <c r="I492" s="23"/>
      <c r="J492" s="30"/>
      <c r="K492" s="23"/>
      <c r="L492" s="20"/>
      <c r="M492" s="20"/>
    </row>
    <row r="493" spans="2:19" s="25" customFormat="1" ht="45.95" customHeight="1">
      <c r="B493" s="31" t="s">
        <v>1</v>
      </c>
      <c r="C493" s="31" t="s">
        <v>2</v>
      </c>
      <c r="D493" s="38" t="s">
        <v>3</v>
      </c>
      <c r="E493" s="37" t="s">
        <v>4</v>
      </c>
      <c r="F493" s="32" t="s">
        <v>5</v>
      </c>
      <c r="G493" s="32" t="s">
        <v>6</v>
      </c>
      <c r="H493" s="33" t="s">
        <v>7</v>
      </c>
      <c r="I493" s="33" t="s">
        <v>8</v>
      </c>
      <c r="J493" s="34" t="s">
        <v>9</v>
      </c>
      <c r="K493" s="33" t="s">
        <v>10</v>
      </c>
      <c r="L493" s="35" t="s">
        <v>11</v>
      </c>
      <c r="M493" s="36"/>
      <c r="N493" s="39"/>
      <c r="O493" s="40"/>
      <c r="P493" s="41"/>
      <c r="Q493" s="40"/>
      <c r="R493" s="42"/>
      <c r="S493" s="43"/>
    </row>
    <row r="494" spans="2:19" ht="18.5" customHeight="1">
      <c r="B494" s="13">
        <v>567</v>
      </c>
      <c r="C494" s="13" t="s">
        <v>20</v>
      </c>
      <c r="D494" s="22" t="s">
        <v>68</v>
      </c>
      <c r="E494" s="5">
        <v>11479408</v>
      </c>
      <c r="F494" s="8">
        <v>7873942</v>
      </c>
      <c r="G494" s="8">
        <v>0</v>
      </c>
      <c r="H494" s="5">
        <f>SUM(F494+G494)</f>
        <v>7873942</v>
      </c>
      <c r="I494" s="5">
        <f>SUM(E494-H494)</f>
        <v>3605466</v>
      </c>
      <c r="J494" s="7">
        <f>SUM(H494/E494)</f>
        <v>0.68591882090086875</v>
      </c>
      <c r="K494" s="6">
        <f>SUM(I494*0.2)</f>
        <v>721093.20000000007</v>
      </c>
      <c r="L494" s="19">
        <v>38049.020000000004</v>
      </c>
    </row>
    <row r="495" spans="2:19" ht="18.5" customHeight="1">
      <c r="B495" s="13">
        <v>567</v>
      </c>
      <c r="C495" s="13" t="s">
        <v>21</v>
      </c>
      <c r="D495" s="22" t="s">
        <v>68</v>
      </c>
      <c r="E495" s="5">
        <v>10363730.15</v>
      </c>
      <c r="F495" s="5">
        <v>7962330.1500000004</v>
      </c>
      <c r="G495" s="5">
        <v>0</v>
      </c>
      <c r="H495" s="5">
        <f>SUM(F495+G495)</f>
        <v>7962330.1500000004</v>
      </c>
      <c r="I495" s="5">
        <f>SUM(E495-H495)</f>
        <v>2401400</v>
      </c>
      <c r="J495" s="7">
        <f>SUM(H495/E495)</f>
        <v>0.76828806180369336</v>
      </c>
      <c r="K495" s="6">
        <f>SUM(I495*0.2)</f>
        <v>480280</v>
      </c>
      <c r="L495" s="19">
        <v>14045.53</v>
      </c>
    </row>
    <row r="496" spans="2:19" s="24" customFormat="1" ht="18.5" customHeight="1">
      <c r="B496" s="27"/>
      <c r="C496" s="27"/>
      <c r="D496" s="28" t="s">
        <v>69</v>
      </c>
      <c r="E496" s="23">
        <f>SUM(E494:E495)/2</f>
        <v>10921569.074999999</v>
      </c>
      <c r="F496" s="23">
        <f>SUM(F494:F495)/2</f>
        <v>7918136.0750000002</v>
      </c>
      <c r="G496" s="23">
        <f>SUM(G494:G495)/2</f>
        <v>0</v>
      </c>
      <c r="H496" s="23">
        <f>SUM(H494:H495)/2</f>
        <v>7918136.0750000002</v>
      </c>
      <c r="I496" s="23">
        <f>SUM(I494:I495)/2</f>
        <v>3003433</v>
      </c>
      <c r="J496" s="29">
        <f>SUM(H496/E496)</f>
        <v>0.72499986225651381</v>
      </c>
      <c r="K496" s="23">
        <f>SUM(K494:K495)/2</f>
        <v>600686.60000000009</v>
      </c>
      <c r="L496" s="23">
        <f>SUM(L494:L495)/2</f>
        <v>26047.275000000001</v>
      </c>
      <c r="M496" s="4"/>
    </row>
    <row r="497" spans="2:19" s="24" customFormat="1" ht="18.5" customHeight="1">
      <c r="B497" s="27"/>
      <c r="C497" s="27"/>
      <c r="D497" s="28"/>
      <c r="E497" s="23"/>
      <c r="F497" s="23"/>
      <c r="G497" s="23"/>
      <c r="H497" s="23"/>
      <c r="I497" s="23"/>
      <c r="J497" s="29"/>
      <c r="K497" s="23"/>
      <c r="L497" s="23"/>
      <c r="M497" s="4"/>
    </row>
    <row r="498" spans="2:19" s="25" customFormat="1" ht="45.95" customHeight="1">
      <c r="B498" s="31" t="s">
        <v>1</v>
      </c>
      <c r="C498" s="31" t="s">
        <v>2</v>
      </c>
      <c r="D498" s="38" t="s">
        <v>3</v>
      </c>
      <c r="E498" s="37" t="s">
        <v>4</v>
      </c>
      <c r="F498" s="32" t="s">
        <v>5</v>
      </c>
      <c r="G498" s="32" t="s">
        <v>6</v>
      </c>
      <c r="H498" s="33" t="s">
        <v>7</v>
      </c>
      <c r="I498" s="33" t="s">
        <v>8</v>
      </c>
      <c r="J498" s="34" t="s">
        <v>9</v>
      </c>
      <c r="K498" s="33" t="s">
        <v>10</v>
      </c>
      <c r="L498" s="35" t="s">
        <v>11</v>
      </c>
      <c r="M498" s="36"/>
      <c r="N498" s="39"/>
      <c r="O498" s="40"/>
      <c r="P498" s="41"/>
      <c r="Q498" s="40"/>
      <c r="R498" s="42"/>
      <c r="S498" s="43"/>
    </row>
    <row r="499" spans="2:19" ht="18.5" customHeight="1">
      <c r="B499" s="13">
        <v>569</v>
      </c>
      <c r="C499" s="13" t="s">
        <v>12</v>
      </c>
      <c r="D499" s="14" t="s">
        <v>70</v>
      </c>
      <c r="E499" s="6">
        <v>16366500</v>
      </c>
      <c r="F499" s="5">
        <v>16066028</v>
      </c>
      <c r="G499" s="5">
        <v>126535</v>
      </c>
      <c r="H499" s="5">
        <f t="shared" ref="H499:H507" si="157">SUM(F499+G499)</f>
        <v>16192563</v>
      </c>
      <c r="I499" s="5">
        <f t="shared" ref="I499:I507" si="158">SUM(E499-H499)</f>
        <v>173937</v>
      </c>
      <c r="J499" s="7">
        <f t="shared" ref="J499:J507" si="159">SUM(H499/E499)</f>
        <v>0.98937237650077903</v>
      </c>
      <c r="K499" s="6">
        <f t="shared" ref="K499:K507" si="160">SUM(I499*0.2)</f>
        <v>34787.4</v>
      </c>
      <c r="L499" s="19">
        <v>11206.76</v>
      </c>
    </row>
    <row r="500" spans="2:19" ht="18.5" customHeight="1">
      <c r="B500" s="13">
        <v>569</v>
      </c>
      <c r="C500" s="13" t="s">
        <v>14</v>
      </c>
      <c r="D500" s="14" t="s">
        <v>70</v>
      </c>
      <c r="E500" s="6">
        <v>17125800</v>
      </c>
      <c r="F500" s="5">
        <v>16879828</v>
      </c>
      <c r="G500" s="5">
        <v>151308</v>
      </c>
      <c r="H500" s="5">
        <f t="shared" si="157"/>
        <v>17031136</v>
      </c>
      <c r="I500" s="5">
        <f t="shared" si="158"/>
        <v>94664</v>
      </c>
      <c r="J500" s="7">
        <f t="shared" si="159"/>
        <v>0.99447243340457092</v>
      </c>
      <c r="K500" s="6">
        <f t="shared" si="160"/>
        <v>18932.8</v>
      </c>
      <c r="L500" s="19">
        <v>12409.560000000001</v>
      </c>
    </row>
    <row r="501" spans="2:19" ht="18.5" customHeight="1">
      <c r="B501" s="13">
        <v>569</v>
      </c>
      <c r="C501" s="13" t="s">
        <v>15</v>
      </c>
      <c r="D501" s="14" t="s">
        <v>70</v>
      </c>
      <c r="E501" s="6">
        <v>17673500</v>
      </c>
      <c r="F501" s="5">
        <v>17444892</v>
      </c>
      <c r="G501" s="5">
        <v>69200</v>
      </c>
      <c r="H501" s="5">
        <f t="shared" si="157"/>
        <v>17514092</v>
      </c>
      <c r="I501" s="5">
        <f t="shared" si="158"/>
        <v>159408</v>
      </c>
      <c r="J501" s="7">
        <f t="shared" si="159"/>
        <v>0.99098039437576035</v>
      </c>
      <c r="K501" s="6">
        <f t="shared" si="160"/>
        <v>31881.600000000002</v>
      </c>
      <c r="L501" s="19">
        <v>11994.85</v>
      </c>
    </row>
    <row r="502" spans="2:19" ht="18.5" customHeight="1">
      <c r="B502" s="13">
        <v>569</v>
      </c>
      <c r="C502" s="13" t="s">
        <v>16</v>
      </c>
      <c r="D502" s="14" t="s">
        <v>70</v>
      </c>
      <c r="E502" s="6">
        <v>17134600</v>
      </c>
      <c r="F502" s="5">
        <v>16886688</v>
      </c>
      <c r="G502" s="5">
        <v>69200</v>
      </c>
      <c r="H502" s="5">
        <f t="shared" si="157"/>
        <v>16955888</v>
      </c>
      <c r="I502" s="5">
        <f t="shared" si="158"/>
        <v>178712</v>
      </c>
      <c r="J502" s="7">
        <f t="shared" si="159"/>
        <v>0.98957010960279201</v>
      </c>
      <c r="K502" s="6">
        <f t="shared" si="160"/>
        <v>35742.400000000001</v>
      </c>
      <c r="L502" s="19">
        <v>8869.99</v>
      </c>
    </row>
    <row r="503" spans="2:19" ht="18.5" customHeight="1">
      <c r="B503" s="13">
        <v>569</v>
      </c>
      <c r="C503" s="13" t="s">
        <v>17</v>
      </c>
      <c r="D503" s="14" t="s">
        <v>70</v>
      </c>
      <c r="E503" s="6">
        <v>23796700</v>
      </c>
      <c r="F503" s="5">
        <v>23536088</v>
      </c>
      <c r="G503" s="5">
        <v>60200</v>
      </c>
      <c r="H503" s="5">
        <f t="shared" si="157"/>
        <v>23596288</v>
      </c>
      <c r="I503" s="5">
        <f t="shared" si="158"/>
        <v>200412</v>
      </c>
      <c r="J503" s="7">
        <f t="shared" si="159"/>
        <v>0.99157815999697441</v>
      </c>
      <c r="K503" s="6">
        <f t="shared" si="160"/>
        <v>40082.400000000001</v>
      </c>
      <c r="L503" s="19">
        <v>4162</v>
      </c>
    </row>
    <row r="504" spans="2:19" ht="18.5" customHeight="1">
      <c r="B504" s="13">
        <v>569</v>
      </c>
      <c r="C504" s="13" t="s">
        <v>18</v>
      </c>
      <c r="D504" s="14" t="s">
        <v>70</v>
      </c>
      <c r="E504" s="6">
        <v>24000300</v>
      </c>
      <c r="F504" s="5">
        <v>23777388</v>
      </c>
      <c r="G504" s="5">
        <v>77900</v>
      </c>
      <c r="H504" s="5">
        <f t="shared" si="157"/>
        <v>23855288</v>
      </c>
      <c r="I504" s="5">
        <f t="shared" si="158"/>
        <v>145012</v>
      </c>
      <c r="J504" s="7">
        <f t="shared" si="159"/>
        <v>0.99395790885947255</v>
      </c>
      <c r="K504" s="6">
        <f t="shared" si="160"/>
        <v>29002.400000000001</v>
      </c>
      <c r="L504" s="19">
        <v>2246</v>
      </c>
    </row>
    <row r="505" spans="2:19" ht="18.5" customHeight="1">
      <c r="B505" s="13">
        <v>569</v>
      </c>
      <c r="C505" s="13" t="s">
        <v>19</v>
      </c>
      <c r="D505" s="14" t="s">
        <v>70</v>
      </c>
      <c r="E505" s="8">
        <v>24204800</v>
      </c>
      <c r="F505" s="8">
        <v>23845644</v>
      </c>
      <c r="G505" s="8">
        <v>56300</v>
      </c>
      <c r="H505" s="5">
        <f t="shared" si="157"/>
        <v>23901944</v>
      </c>
      <c r="I505" s="5">
        <f t="shared" si="158"/>
        <v>302856</v>
      </c>
      <c r="J505" s="7">
        <f t="shared" si="159"/>
        <v>0.98748777102062402</v>
      </c>
      <c r="K505" s="6">
        <f t="shared" si="160"/>
        <v>60571.200000000004</v>
      </c>
      <c r="L505" s="4">
        <v>793</v>
      </c>
      <c r="M505" s="4"/>
    </row>
    <row r="506" spans="2:19" ht="18.5" customHeight="1">
      <c r="B506" s="13">
        <v>569</v>
      </c>
      <c r="C506" s="13" t="s">
        <v>20</v>
      </c>
      <c r="D506" s="14" t="s">
        <v>70</v>
      </c>
      <c r="E506" s="8">
        <v>24704900</v>
      </c>
      <c r="F506" s="8">
        <v>24310344</v>
      </c>
      <c r="G506" s="8">
        <v>0</v>
      </c>
      <c r="H506" s="5">
        <f t="shared" si="157"/>
        <v>24310344</v>
      </c>
      <c r="I506" s="5">
        <f t="shared" si="158"/>
        <v>394556</v>
      </c>
      <c r="J506" s="7">
        <f t="shared" si="159"/>
        <v>0.98402924116268431</v>
      </c>
      <c r="K506" s="6">
        <f t="shared" si="160"/>
        <v>78911.200000000012</v>
      </c>
      <c r="L506" s="19">
        <v>882.6</v>
      </c>
    </row>
    <row r="507" spans="2:19" ht="18.5" customHeight="1">
      <c r="B507" s="13">
        <v>569</v>
      </c>
      <c r="C507" s="13" t="s">
        <v>21</v>
      </c>
      <c r="D507" s="14" t="s">
        <v>70</v>
      </c>
      <c r="E507" s="5">
        <v>27514200</v>
      </c>
      <c r="F507" s="5">
        <v>27264360</v>
      </c>
      <c r="G507" s="5">
        <v>0</v>
      </c>
      <c r="H507" s="5">
        <f t="shared" si="157"/>
        <v>27264360</v>
      </c>
      <c r="I507" s="5">
        <f t="shared" si="158"/>
        <v>249840</v>
      </c>
      <c r="J507" s="7">
        <f t="shared" si="159"/>
        <v>0.99091959788036721</v>
      </c>
      <c r="K507" s="6">
        <f t="shared" si="160"/>
        <v>49968</v>
      </c>
      <c r="L507" s="19">
        <v>2209.8000000000002</v>
      </c>
    </row>
    <row r="508" spans="2:19" s="24" customFormat="1" ht="18.5" customHeight="1">
      <c r="B508" s="27"/>
      <c r="C508" s="27"/>
      <c r="D508" s="28" t="s">
        <v>22</v>
      </c>
      <c r="E508" s="23">
        <f>SUM(E499:E507)/9</f>
        <v>21391255.555555556</v>
      </c>
      <c r="F508" s="23">
        <f>SUM(F499:F507)/9</f>
        <v>21112362.222222224</v>
      </c>
      <c r="G508" s="23">
        <f>SUM(G499:G507)/9</f>
        <v>67849.222222222219</v>
      </c>
      <c r="H508" s="23">
        <f>SUM(H499:H507)/9</f>
        <v>21180211.444444444</v>
      </c>
      <c r="I508" s="23">
        <f>SUM(I499:I507)/9</f>
        <v>211044.11111111112</v>
      </c>
      <c r="J508" s="29">
        <f>SUM(H508/E508)</f>
        <v>0.99013409425346699</v>
      </c>
      <c r="K508" s="23">
        <f>SUM(K499:K507)/9</f>
        <v>42208.822222222225</v>
      </c>
      <c r="L508" s="20">
        <f>SUM(L499:L507)/9</f>
        <v>6086.0622222222219</v>
      </c>
      <c r="M508" s="20"/>
    </row>
    <row r="509" spans="2:19" s="24" customFormat="1" ht="18.5" customHeight="1">
      <c r="B509" s="27"/>
      <c r="C509" s="27"/>
      <c r="D509" s="28"/>
      <c r="E509" s="23"/>
      <c r="F509" s="23"/>
      <c r="G509" s="23"/>
      <c r="H509" s="23"/>
      <c r="I509" s="23"/>
      <c r="J509" s="29"/>
      <c r="K509" s="23"/>
      <c r="L509" s="20"/>
      <c r="M509" s="20"/>
    </row>
    <row r="510" spans="2:19" s="25" customFormat="1" ht="45.95" customHeight="1">
      <c r="B510" s="31" t="s">
        <v>1</v>
      </c>
      <c r="C510" s="31" t="s">
        <v>2</v>
      </c>
      <c r="D510" s="38" t="s">
        <v>3</v>
      </c>
      <c r="E510" s="37" t="s">
        <v>4</v>
      </c>
      <c r="F510" s="32" t="s">
        <v>5</v>
      </c>
      <c r="G510" s="32" t="s">
        <v>6</v>
      </c>
      <c r="H510" s="33" t="s">
        <v>7</v>
      </c>
      <c r="I510" s="33" t="s">
        <v>8</v>
      </c>
      <c r="J510" s="34" t="s">
        <v>9</v>
      </c>
      <c r="K510" s="33" t="s">
        <v>10</v>
      </c>
      <c r="L510" s="35" t="s">
        <v>11</v>
      </c>
      <c r="M510" s="36"/>
      <c r="N510" s="39"/>
      <c r="O510" s="40"/>
      <c r="P510" s="41"/>
      <c r="Q510" s="40"/>
      <c r="R510" s="42"/>
      <c r="S510" s="43"/>
    </row>
    <row r="511" spans="2:19" ht="18.5" customHeight="1">
      <c r="B511" s="13">
        <v>578</v>
      </c>
      <c r="C511" s="13" t="s">
        <v>12</v>
      </c>
      <c r="D511" s="14" t="s">
        <v>71</v>
      </c>
      <c r="E511" s="6">
        <v>1376288</v>
      </c>
      <c r="F511" s="5">
        <v>1273744</v>
      </c>
      <c r="G511" s="5">
        <v>18244</v>
      </c>
      <c r="H511" s="5">
        <f t="shared" ref="H511:H519" si="161">SUM(F511+G511)</f>
        <v>1291988</v>
      </c>
      <c r="I511" s="5">
        <f t="shared" ref="I511:I519" si="162">SUM(E511-H511)</f>
        <v>84300</v>
      </c>
      <c r="J511" s="7">
        <f t="shared" ref="J511:J519" si="163">SUM(H511/E511)</f>
        <v>0.93874828524262366</v>
      </c>
      <c r="K511" s="6">
        <f t="shared" ref="K511:K519" si="164">SUM(I511*0.2)</f>
        <v>16860</v>
      </c>
      <c r="L511" s="19">
        <v>15850.72</v>
      </c>
    </row>
    <row r="512" spans="2:19" ht="18.5" customHeight="1">
      <c r="B512" s="13">
        <v>578</v>
      </c>
      <c r="C512" s="13" t="s">
        <v>14</v>
      </c>
      <c r="D512" s="14" t="s">
        <v>71</v>
      </c>
      <c r="E512" s="6">
        <v>1569000.0300000003</v>
      </c>
      <c r="F512" s="5">
        <v>1338038.8999999999</v>
      </c>
      <c r="G512" s="5">
        <v>159939.60500000001</v>
      </c>
      <c r="H512" s="5">
        <f t="shared" si="161"/>
        <v>1497978.5049999999</v>
      </c>
      <c r="I512" s="5">
        <f t="shared" si="162"/>
        <v>71021.525000000373</v>
      </c>
      <c r="J512" s="7">
        <f t="shared" si="163"/>
        <v>0.95473452922751034</v>
      </c>
      <c r="K512" s="6">
        <f t="shared" si="164"/>
        <v>14204.305000000075</v>
      </c>
      <c r="L512" s="19">
        <v>16466.36</v>
      </c>
    </row>
    <row r="513" spans="2:19" ht="18.5" customHeight="1">
      <c r="B513" s="13">
        <v>578</v>
      </c>
      <c r="C513" s="13" t="s">
        <v>15</v>
      </c>
      <c r="D513" s="14" t="s">
        <v>71</v>
      </c>
      <c r="E513" s="6">
        <v>1569000</v>
      </c>
      <c r="F513" s="5">
        <v>1362500</v>
      </c>
      <c r="G513" s="5">
        <v>162600</v>
      </c>
      <c r="H513" s="5">
        <f t="shared" si="161"/>
        <v>1525100</v>
      </c>
      <c r="I513" s="5">
        <f t="shared" si="162"/>
        <v>43900</v>
      </c>
      <c r="J513" s="7">
        <f t="shared" si="163"/>
        <v>0.97202039515615046</v>
      </c>
      <c r="K513" s="6">
        <f t="shared" si="164"/>
        <v>8780</v>
      </c>
      <c r="L513" s="19">
        <v>47494.81</v>
      </c>
    </row>
    <row r="514" spans="2:19" ht="18.5" customHeight="1">
      <c r="B514" s="13">
        <v>578</v>
      </c>
      <c r="C514" s="13" t="s">
        <v>16</v>
      </c>
      <c r="D514" s="14" t="s">
        <v>71</v>
      </c>
      <c r="E514" s="6">
        <v>3250000</v>
      </c>
      <c r="F514" s="5">
        <v>1955800</v>
      </c>
      <c r="G514" s="5">
        <v>1145100</v>
      </c>
      <c r="H514" s="5">
        <f t="shared" si="161"/>
        <v>3100900</v>
      </c>
      <c r="I514" s="5">
        <f t="shared" si="162"/>
        <v>149100</v>
      </c>
      <c r="J514" s="7">
        <f t="shared" si="163"/>
        <v>0.95412307692307696</v>
      </c>
      <c r="K514" s="6">
        <f t="shared" si="164"/>
        <v>29820</v>
      </c>
      <c r="L514" s="19">
        <v>13571.3</v>
      </c>
    </row>
    <row r="515" spans="2:19" ht="18.5" customHeight="1">
      <c r="B515" s="13">
        <v>578</v>
      </c>
      <c r="C515" s="13" t="s">
        <v>17</v>
      </c>
      <c r="D515" s="14" t="s">
        <v>71</v>
      </c>
      <c r="E515" s="6">
        <v>3174700</v>
      </c>
      <c r="F515" s="5">
        <v>1808000</v>
      </c>
      <c r="G515" s="5">
        <v>1115400</v>
      </c>
      <c r="H515" s="5">
        <f t="shared" si="161"/>
        <v>2923400</v>
      </c>
      <c r="I515" s="5">
        <f t="shared" si="162"/>
        <v>251300</v>
      </c>
      <c r="J515" s="7">
        <f t="shared" si="163"/>
        <v>0.92084291429111409</v>
      </c>
      <c r="K515" s="6">
        <f t="shared" si="164"/>
        <v>50260</v>
      </c>
      <c r="L515" s="19">
        <v>7398</v>
      </c>
    </row>
    <row r="516" spans="2:19" ht="18.5" customHeight="1">
      <c r="B516" s="13">
        <v>578</v>
      </c>
      <c r="C516" s="13" t="s">
        <v>18</v>
      </c>
      <c r="D516" s="14" t="s">
        <v>71</v>
      </c>
      <c r="E516" s="6">
        <v>4079200</v>
      </c>
      <c r="F516" s="5">
        <v>2054200</v>
      </c>
      <c r="G516" s="5">
        <v>1811900</v>
      </c>
      <c r="H516" s="5">
        <f t="shared" si="161"/>
        <v>3866100</v>
      </c>
      <c r="I516" s="5">
        <f t="shared" si="162"/>
        <v>213100</v>
      </c>
      <c r="J516" s="7">
        <f t="shared" si="163"/>
        <v>0.9477593645812904</v>
      </c>
      <c r="K516" s="6">
        <f t="shared" si="164"/>
        <v>42620</v>
      </c>
      <c r="L516" s="19">
        <v>6962</v>
      </c>
    </row>
    <row r="517" spans="2:19" ht="18.5" customHeight="1">
      <c r="B517" s="13">
        <v>578</v>
      </c>
      <c r="C517" s="13" t="s">
        <v>19</v>
      </c>
      <c r="D517" s="14" t="s">
        <v>71</v>
      </c>
      <c r="E517" s="11">
        <v>3802700</v>
      </c>
      <c r="F517" s="8">
        <v>1870900</v>
      </c>
      <c r="G517" s="8">
        <v>1612800</v>
      </c>
      <c r="H517" s="5">
        <f t="shared" si="161"/>
        <v>3483700</v>
      </c>
      <c r="I517" s="5">
        <f t="shared" si="162"/>
        <v>319000</v>
      </c>
      <c r="J517" s="7">
        <f t="shared" si="163"/>
        <v>0.91611223604281167</v>
      </c>
      <c r="K517" s="6">
        <f t="shared" si="164"/>
        <v>63800</v>
      </c>
      <c r="L517" s="4">
        <v>9610</v>
      </c>
      <c r="M517" s="4"/>
    </row>
    <row r="518" spans="2:19" ht="18.5" customHeight="1">
      <c r="B518" s="13">
        <v>578</v>
      </c>
      <c r="C518" s="13" t="s">
        <v>20</v>
      </c>
      <c r="D518" s="14" t="s">
        <v>71</v>
      </c>
      <c r="E518" s="11">
        <v>3214500</v>
      </c>
      <c r="F518" s="8">
        <v>2309500</v>
      </c>
      <c r="G518" s="8">
        <v>523700</v>
      </c>
      <c r="H518" s="5">
        <f t="shared" si="161"/>
        <v>2833200</v>
      </c>
      <c r="I518" s="5">
        <f t="shared" si="162"/>
        <v>381300</v>
      </c>
      <c r="J518" s="7">
        <f t="shared" si="163"/>
        <v>0.88138124125058326</v>
      </c>
      <c r="K518" s="6">
        <f t="shared" si="164"/>
        <v>76260</v>
      </c>
      <c r="L518" s="19">
        <v>15897.36</v>
      </c>
    </row>
    <row r="519" spans="2:19" ht="18.5" customHeight="1">
      <c r="B519" s="13">
        <v>578</v>
      </c>
      <c r="C519" s="13" t="s">
        <v>21</v>
      </c>
      <c r="D519" s="14" t="s">
        <v>71</v>
      </c>
      <c r="E519" s="5">
        <v>3047200</v>
      </c>
      <c r="F519" s="5">
        <v>2311200</v>
      </c>
      <c r="G519" s="5">
        <v>543400</v>
      </c>
      <c r="H519" s="5">
        <f t="shared" si="161"/>
        <v>2854600</v>
      </c>
      <c r="I519" s="5">
        <f t="shared" si="162"/>
        <v>192600</v>
      </c>
      <c r="J519" s="7">
        <f t="shared" si="163"/>
        <v>0.93679443423470732</v>
      </c>
      <c r="K519" s="6">
        <f t="shared" si="164"/>
        <v>38520</v>
      </c>
      <c r="L519" s="19">
        <v>5352.34</v>
      </c>
    </row>
    <row r="520" spans="2:19" s="24" customFormat="1" ht="18.5" customHeight="1">
      <c r="B520" s="27"/>
      <c r="C520" s="27"/>
      <c r="D520" s="28" t="s">
        <v>22</v>
      </c>
      <c r="E520" s="23">
        <f>SUM(E511:E519)/9</f>
        <v>2786954.2255555559</v>
      </c>
      <c r="F520" s="23">
        <f>SUM(F511:F519)/9</f>
        <v>1809320.3222222223</v>
      </c>
      <c r="G520" s="23">
        <f>SUM(G511:G519)/9</f>
        <v>788120.40055555559</v>
      </c>
      <c r="H520" s="23">
        <f>SUM(H511:H519)/9</f>
        <v>2597440.7227777778</v>
      </c>
      <c r="I520" s="23">
        <f>SUM(I511:I519)/9</f>
        <v>189513.50277777782</v>
      </c>
      <c r="J520" s="29">
        <f>SUM(H520/E520)</f>
        <v>0.93199977917111276</v>
      </c>
      <c r="K520" s="23">
        <f>SUM(K511:K519)/9</f>
        <v>37902.700555555559</v>
      </c>
      <c r="L520" s="20">
        <f>SUM(L511:L519)/9</f>
        <v>15400.321111111109</v>
      </c>
      <c r="M520" s="20"/>
    </row>
    <row r="521" spans="2:19" s="24" customFormat="1" ht="18.5" customHeight="1">
      <c r="B521" s="27"/>
      <c r="C521" s="27"/>
      <c r="D521" s="28"/>
      <c r="E521" s="23"/>
      <c r="F521" s="23"/>
      <c r="G521" s="23"/>
      <c r="H521" s="23"/>
      <c r="I521" s="23"/>
      <c r="J521" s="29"/>
      <c r="K521" s="23"/>
      <c r="L521" s="20"/>
      <c r="M521" s="20"/>
    </row>
    <row r="522" spans="2:19" s="25" customFormat="1" ht="45.95" customHeight="1">
      <c r="B522" s="31" t="s">
        <v>1</v>
      </c>
      <c r="C522" s="31" t="s">
        <v>2</v>
      </c>
      <c r="D522" s="38" t="s">
        <v>3</v>
      </c>
      <c r="E522" s="37" t="s">
        <v>4</v>
      </c>
      <c r="F522" s="32" t="s">
        <v>5</v>
      </c>
      <c r="G522" s="32" t="s">
        <v>6</v>
      </c>
      <c r="H522" s="33" t="s">
        <v>7</v>
      </c>
      <c r="I522" s="33" t="s">
        <v>8</v>
      </c>
      <c r="J522" s="34" t="s">
        <v>9</v>
      </c>
      <c r="K522" s="33" t="s">
        <v>10</v>
      </c>
      <c r="L522" s="35" t="s">
        <v>11</v>
      </c>
      <c r="M522" s="36"/>
      <c r="N522" s="39"/>
      <c r="O522" s="40"/>
      <c r="P522" s="41"/>
      <c r="Q522" s="40"/>
      <c r="R522" s="42"/>
      <c r="S522" s="43"/>
    </row>
    <row r="523" spans="2:19" ht="18.5" customHeight="1">
      <c r="B523" s="13">
        <v>579</v>
      </c>
      <c r="C523" s="13" t="s">
        <v>12</v>
      </c>
      <c r="D523" s="14" t="s">
        <v>72</v>
      </c>
      <c r="E523" s="6">
        <v>8579200</v>
      </c>
      <c r="F523" s="5">
        <v>2634151</v>
      </c>
      <c r="G523" s="5">
        <v>5905954</v>
      </c>
      <c r="H523" s="5">
        <f t="shared" ref="H523:H531" si="165">SUM(F523+G523)</f>
        <v>8540105</v>
      </c>
      <c r="I523" s="5">
        <f t="shared" ref="I523:I531" si="166">SUM(E523-H523)</f>
        <v>39095</v>
      </c>
      <c r="J523" s="7">
        <f t="shared" ref="J523:J531" si="167">SUM(H523/E523)</f>
        <v>0.99544304830287211</v>
      </c>
      <c r="K523" s="6">
        <f t="shared" ref="K523:K531" si="168">SUM(I523*0.2)</f>
        <v>7819</v>
      </c>
      <c r="L523" s="19">
        <v>13746.14</v>
      </c>
    </row>
    <row r="524" spans="2:19" ht="18.5" customHeight="1">
      <c r="B524" s="13">
        <v>579</v>
      </c>
      <c r="C524" s="13" t="s">
        <v>14</v>
      </c>
      <c r="D524" s="14" t="s">
        <v>72</v>
      </c>
      <c r="E524" s="6">
        <v>8431300</v>
      </c>
      <c r="F524" s="5">
        <v>2742800</v>
      </c>
      <c r="G524" s="5">
        <v>5633350</v>
      </c>
      <c r="H524" s="5">
        <f t="shared" si="165"/>
        <v>8376150</v>
      </c>
      <c r="I524" s="5">
        <f t="shared" si="166"/>
        <v>55150</v>
      </c>
      <c r="J524" s="7">
        <f t="shared" si="167"/>
        <v>0.99345889720446434</v>
      </c>
      <c r="K524" s="6">
        <f t="shared" si="168"/>
        <v>11030</v>
      </c>
      <c r="L524" s="19">
        <v>27857.63</v>
      </c>
    </row>
    <row r="525" spans="2:19" ht="18.5" customHeight="1">
      <c r="B525" s="13">
        <v>579</v>
      </c>
      <c r="C525" s="13" t="s">
        <v>15</v>
      </c>
      <c r="D525" s="14" t="s">
        <v>72</v>
      </c>
      <c r="E525" s="6">
        <v>9406700</v>
      </c>
      <c r="F525" s="5">
        <v>3434500</v>
      </c>
      <c r="G525" s="5">
        <v>5920800</v>
      </c>
      <c r="H525" s="5">
        <f t="shared" si="165"/>
        <v>9355300</v>
      </c>
      <c r="I525" s="5">
        <f t="shared" si="166"/>
        <v>51400</v>
      </c>
      <c r="J525" s="7">
        <f t="shared" si="167"/>
        <v>0.99453580958253163</v>
      </c>
      <c r="K525" s="6">
        <f t="shared" si="168"/>
        <v>10280</v>
      </c>
      <c r="L525" s="19">
        <v>18188.5</v>
      </c>
    </row>
    <row r="526" spans="2:19" ht="18.5" customHeight="1">
      <c r="B526" s="13">
        <v>579</v>
      </c>
      <c r="C526" s="13" t="s">
        <v>16</v>
      </c>
      <c r="D526" s="14" t="s">
        <v>72</v>
      </c>
      <c r="E526" s="6">
        <v>7454100</v>
      </c>
      <c r="F526" s="5">
        <v>5852600</v>
      </c>
      <c r="G526" s="5">
        <v>1458900</v>
      </c>
      <c r="H526" s="5">
        <f t="shared" si="165"/>
        <v>7311500</v>
      </c>
      <c r="I526" s="5">
        <f t="shared" si="166"/>
        <v>142600</v>
      </c>
      <c r="J526" s="7">
        <f t="shared" si="167"/>
        <v>0.98086958854858397</v>
      </c>
      <c r="K526" s="6">
        <f t="shared" si="168"/>
        <v>28520</v>
      </c>
      <c r="L526" s="19">
        <v>10678.75</v>
      </c>
    </row>
    <row r="527" spans="2:19" ht="18.5" customHeight="1">
      <c r="B527" s="13">
        <v>579</v>
      </c>
      <c r="C527" s="13" t="s">
        <v>17</v>
      </c>
      <c r="D527" s="14" t="s">
        <v>72</v>
      </c>
      <c r="E527" s="6">
        <v>6900400</v>
      </c>
      <c r="F527" s="5">
        <v>3275250</v>
      </c>
      <c r="G527" s="5">
        <v>3254533</v>
      </c>
      <c r="H527" s="5">
        <f t="shared" si="165"/>
        <v>6529783</v>
      </c>
      <c r="I527" s="5">
        <f t="shared" si="166"/>
        <v>370617</v>
      </c>
      <c r="J527" s="7">
        <f t="shared" si="167"/>
        <v>0.94629050489826672</v>
      </c>
      <c r="K527" s="6">
        <f t="shared" si="168"/>
        <v>74123.400000000009</v>
      </c>
      <c r="L527" s="19">
        <v>8354</v>
      </c>
    </row>
    <row r="528" spans="2:19" ht="18.5" customHeight="1">
      <c r="B528" s="13">
        <v>579</v>
      </c>
      <c r="C528" s="13" t="s">
        <v>18</v>
      </c>
      <c r="D528" s="14" t="s">
        <v>72</v>
      </c>
      <c r="E528" s="6">
        <v>6302500</v>
      </c>
      <c r="F528" s="5">
        <v>2530200</v>
      </c>
      <c r="G528" s="5">
        <v>3579200</v>
      </c>
      <c r="H528" s="5">
        <f t="shared" si="165"/>
        <v>6109400</v>
      </c>
      <c r="I528" s="5">
        <f t="shared" si="166"/>
        <v>193100</v>
      </c>
      <c r="J528" s="7">
        <f t="shared" si="167"/>
        <v>0.9693613645378818</v>
      </c>
      <c r="K528" s="6">
        <f t="shared" si="168"/>
        <v>38620</v>
      </c>
      <c r="L528" s="19">
        <v>1554</v>
      </c>
    </row>
    <row r="529" spans="2:19" ht="18.5" customHeight="1">
      <c r="B529" s="13">
        <v>579</v>
      </c>
      <c r="C529" s="13" t="s">
        <v>19</v>
      </c>
      <c r="D529" s="14" t="s">
        <v>72</v>
      </c>
      <c r="E529" s="11">
        <v>6497700</v>
      </c>
      <c r="F529" s="8">
        <v>2602900</v>
      </c>
      <c r="G529" s="8">
        <v>3533700</v>
      </c>
      <c r="H529" s="5">
        <f t="shared" si="165"/>
        <v>6136600</v>
      </c>
      <c r="I529" s="5">
        <f t="shared" si="166"/>
        <v>361100</v>
      </c>
      <c r="J529" s="7">
        <f t="shared" si="167"/>
        <v>0.94442648937316276</v>
      </c>
      <c r="K529" s="6">
        <f t="shared" si="168"/>
        <v>72220</v>
      </c>
      <c r="L529" s="4">
        <v>17321</v>
      </c>
      <c r="M529" s="4"/>
    </row>
    <row r="530" spans="2:19" ht="18.5" customHeight="1">
      <c r="B530" s="13">
        <v>579</v>
      </c>
      <c r="C530" s="13" t="s">
        <v>20</v>
      </c>
      <c r="D530" s="14" t="s">
        <v>72</v>
      </c>
      <c r="E530" s="11">
        <v>6141500</v>
      </c>
      <c r="F530" s="8">
        <v>2627000</v>
      </c>
      <c r="G530" s="8">
        <v>2771400</v>
      </c>
      <c r="H530" s="5">
        <f t="shared" si="165"/>
        <v>5398400</v>
      </c>
      <c r="I530" s="5">
        <f t="shared" si="166"/>
        <v>743100</v>
      </c>
      <c r="J530" s="7">
        <f t="shared" si="167"/>
        <v>0.8790035007734267</v>
      </c>
      <c r="K530" s="6">
        <f t="shared" si="168"/>
        <v>148620</v>
      </c>
      <c r="L530" s="19">
        <v>49273.740000000005</v>
      </c>
    </row>
    <row r="531" spans="2:19" ht="18.5" customHeight="1">
      <c r="B531" s="13">
        <v>579</v>
      </c>
      <c r="C531" s="13" t="s">
        <v>21</v>
      </c>
      <c r="D531" s="14" t="s">
        <v>72</v>
      </c>
      <c r="E531" s="5">
        <v>5809900</v>
      </c>
      <c r="F531" s="5">
        <v>2475800</v>
      </c>
      <c r="G531" s="5">
        <v>0</v>
      </c>
      <c r="H531" s="5">
        <f t="shared" si="165"/>
        <v>2475800</v>
      </c>
      <c r="I531" s="5">
        <f t="shared" si="166"/>
        <v>3334100</v>
      </c>
      <c r="J531" s="7">
        <f t="shared" si="167"/>
        <v>0.4261347011136164</v>
      </c>
      <c r="K531" s="6">
        <f t="shared" si="168"/>
        <v>666820</v>
      </c>
      <c r="L531" s="19">
        <v>52179.579999999994</v>
      </c>
    </row>
    <row r="532" spans="2:19" s="24" customFormat="1" ht="18.5" customHeight="1">
      <c r="B532" s="27"/>
      <c r="C532" s="27"/>
      <c r="D532" s="28" t="s">
        <v>22</v>
      </c>
      <c r="E532" s="23">
        <f>SUM(E523:E531)/9</f>
        <v>7280366.666666667</v>
      </c>
      <c r="F532" s="23">
        <f>SUM(F523:F531)/9</f>
        <v>3130577.888888889</v>
      </c>
      <c r="G532" s="23">
        <f>SUM(G523:G531)/9</f>
        <v>3561981.888888889</v>
      </c>
      <c r="H532" s="23">
        <f>SUM(H523:H531)/9</f>
        <v>6692559.777777778</v>
      </c>
      <c r="I532" s="23">
        <f>SUM(I523:I531)/9</f>
        <v>587806.88888888888</v>
      </c>
      <c r="J532" s="29">
        <f>SUM(H532/E532)</f>
        <v>0.91926136198878872</v>
      </c>
      <c r="K532" s="23">
        <f>SUM(K523:K531)/9</f>
        <v>117561.37777777777</v>
      </c>
      <c r="L532" s="20">
        <f>SUM(L523:L531)/9</f>
        <v>22128.148888888889</v>
      </c>
      <c r="M532" s="20"/>
    </row>
    <row r="533" spans="2:19" s="24" customFormat="1" ht="18.5" customHeight="1">
      <c r="B533" s="27"/>
      <c r="C533" s="27"/>
      <c r="D533" s="28"/>
      <c r="E533" s="23"/>
      <c r="F533" s="23"/>
      <c r="G533" s="23"/>
      <c r="H533" s="23"/>
      <c r="I533" s="23"/>
      <c r="J533" s="29"/>
      <c r="K533" s="23"/>
      <c r="L533" s="20"/>
      <c r="M533" s="20"/>
    </row>
    <row r="534" spans="2:19" s="25" customFormat="1" ht="45.95" customHeight="1">
      <c r="B534" s="31" t="s">
        <v>1</v>
      </c>
      <c r="C534" s="31" t="s">
        <v>2</v>
      </c>
      <c r="D534" s="38" t="s">
        <v>3</v>
      </c>
      <c r="E534" s="37" t="s">
        <v>4</v>
      </c>
      <c r="F534" s="32" t="s">
        <v>5</v>
      </c>
      <c r="G534" s="32" t="s">
        <v>6</v>
      </c>
      <c r="H534" s="33" t="s">
        <v>7</v>
      </c>
      <c r="I534" s="33" t="s">
        <v>8</v>
      </c>
      <c r="J534" s="34" t="s">
        <v>9</v>
      </c>
      <c r="K534" s="33" t="s">
        <v>10</v>
      </c>
      <c r="L534" s="35" t="s">
        <v>11</v>
      </c>
      <c r="M534" s="36"/>
      <c r="N534" s="39"/>
      <c r="O534" s="40"/>
      <c r="P534" s="41"/>
      <c r="Q534" s="40"/>
      <c r="R534" s="42"/>
      <c r="S534" s="43"/>
    </row>
    <row r="535" spans="2:19" ht="18.5" customHeight="1">
      <c r="B535" s="13">
        <v>580</v>
      </c>
      <c r="C535" s="13" t="s">
        <v>12</v>
      </c>
      <c r="D535" s="14" t="s">
        <v>73</v>
      </c>
      <c r="E535" s="6">
        <v>4777500</v>
      </c>
      <c r="F535" s="5">
        <v>4529709</v>
      </c>
      <c r="G535" s="5">
        <v>137412</v>
      </c>
      <c r="H535" s="5">
        <f t="shared" ref="H535:H543" si="169">SUM(F535+G535)</f>
        <v>4667121</v>
      </c>
      <c r="I535" s="5">
        <f t="shared" ref="I535:I543" si="170">SUM(E535-H535)</f>
        <v>110379</v>
      </c>
      <c r="J535" s="7">
        <f t="shared" ref="J535:J543" si="171">SUM(H535/E535)</f>
        <v>0.97689607535321821</v>
      </c>
      <c r="K535" s="6">
        <f t="shared" ref="K535:K543" si="172">SUM(I535*0.2)</f>
        <v>22075.800000000003</v>
      </c>
      <c r="L535" s="19">
        <v>119391.36</v>
      </c>
    </row>
    <row r="536" spans="2:19" ht="18.5" customHeight="1">
      <c r="B536" s="13">
        <v>580</v>
      </c>
      <c r="C536" s="13" t="s">
        <v>14</v>
      </c>
      <c r="D536" s="14" t="s">
        <v>73</v>
      </c>
      <c r="E536" s="6">
        <v>4794300</v>
      </c>
      <c r="F536" s="5">
        <v>4449605</v>
      </c>
      <c r="G536" s="5">
        <v>204253</v>
      </c>
      <c r="H536" s="5">
        <f t="shared" si="169"/>
        <v>4653858</v>
      </c>
      <c r="I536" s="5">
        <f t="shared" si="170"/>
        <v>140442</v>
      </c>
      <c r="J536" s="7">
        <f t="shared" si="171"/>
        <v>0.97070646392591198</v>
      </c>
      <c r="K536" s="6">
        <f t="shared" si="172"/>
        <v>28088.400000000001</v>
      </c>
      <c r="L536" s="19">
        <v>133591.38</v>
      </c>
    </row>
    <row r="537" spans="2:19" ht="18.5" customHeight="1">
      <c r="B537" s="13">
        <v>580</v>
      </c>
      <c r="C537" s="13" t="s">
        <v>15</v>
      </c>
      <c r="D537" s="14" t="s">
        <v>73</v>
      </c>
      <c r="E537" s="6">
        <v>5034200</v>
      </c>
      <c r="F537" s="5">
        <v>4733848</v>
      </c>
      <c r="G537" s="5">
        <v>221252</v>
      </c>
      <c r="H537" s="5">
        <f t="shared" si="169"/>
        <v>4955100</v>
      </c>
      <c r="I537" s="5">
        <f t="shared" si="170"/>
        <v>79100</v>
      </c>
      <c r="J537" s="7">
        <f t="shared" si="171"/>
        <v>0.98428747368002856</v>
      </c>
      <c r="K537" s="6">
        <f t="shared" si="172"/>
        <v>15820</v>
      </c>
      <c r="L537" s="19">
        <v>81495.17</v>
      </c>
    </row>
    <row r="538" spans="2:19" ht="18.5" customHeight="1">
      <c r="B538" s="13">
        <v>580</v>
      </c>
      <c r="C538" s="13" t="s">
        <v>16</v>
      </c>
      <c r="D538" s="14" t="s">
        <v>73</v>
      </c>
      <c r="E538" s="6">
        <v>5321000</v>
      </c>
      <c r="F538" s="5">
        <v>4123640</v>
      </c>
      <c r="G538" s="5">
        <v>1105460</v>
      </c>
      <c r="H538" s="5">
        <f t="shared" si="169"/>
        <v>5229100</v>
      </c>
      <c r="I538" s="5">
        <f t="shared" si="170"/>
        <v>91900</v>
      </c>
      <c r="J538" s="7">
        <f t="shared" si="171"/>
        <v>0.98272881037398985</v>
      </c>
      <c r="K538" s="6">
        <f t="shared" si="172"/>
        <v>18380</v>
      </c>
      <c r="L538" s="19">
        <v>5309.95</v>
      </c>
    </row>
    <row r="539" spans="2:19" ht="18.5" customHeight="1">
      <c r="B539" s="13">
        <v>580</v>
      </c>
      <c r="C539" s="13" t="s">
        <v>17</v>
      </c>
      <c r="D539" s="14" t="s">
        <v>73</v>
      </c>
      <c r="E539" s="6">
        <v>5321000</v>
      </c>
      <c r="F539" s="5">
        <v>4982340</v>
      </c>
      <c r="G539" s="5">
        <v>252500</v>
      </c>
      <c r="H539" s="5">
        <f t="shared" si="169"/>
        <v>5234840</v>
      </c>
      <c r="I539" s="5">
        <f t="shared" si="170"/>
        <v>86160</v>
      </c>
      <c r="J539" s="7">
        <f t="shared" si="171"/>
        <v>0.98380755497087014</v>
      </c>
      <c r="K539" s="6">
        <f t="shared" si="172"/>
        <v>17232</v>
      </c>
      <c r="L539" s="19">
        <v>23975</v>
      </c>
    </row>
    <row r="540" spans="2:19" ht="18.5" customHeight="1">
      <c r="B540" s="13">
        <v>580</v>
      </c>
      <c r="C540" s="13" t="s">
        <v>18</v>
      </c>
      <c r="D540" s="14" t="s">
        <v>73</v>
      </c>
      <c r="E540" s="6">
        <v>5587100</v>
      </c>
      <c r="F540" s="5">
        <v>5248440</v>
      </c>
      <c r="G540" s="5">
        <v>185100</v>
      </c>
      <c r="H540" s="5">
        <f t="shared" si="169"/>
        <v>5433540</v>
      </c>
      <c r="I540" s="5">
        <f t="shared" si="170"/>
        <v>153560</v>
      </c>
      <c r="J540" s="7">
        <f t="shared" si="171"/>
        <v>0.97251525836301478</v>
      </c>
      <c r="K540" s="6">
        <f t="shared" si="172"/>
        <v>30712</v>
      </c>
      <c r="L540" s="19">
        <v>10980</v>
      </c>
    </row>
    <row r="541" spans="2:19" ht="18.5" customHeight="1">
      <c r="B541" s="13">
        <v>580</v>
      </c>
      <c r="C541" s="13" t="s">
        <v>19</v>
      </c>
      <c r="D541" s="14" t="s">
        <v>73</v>
      </c>
      <c r="E541" s="11">
        <v>5808600</v>
      </c>
      <c r="F541" s="8">
        <v>5338940</v>
      </c>
      <c r="G541" s="8">
        <v>357900</v>
      </c>
      <c r="H541" s="5">
        <f t="shared" si="169"/>
        <v>5696840</v>
      </c>
      <c r="I541" s="5">
        <f t="shared" si="170"/>
        <v>111760</v>
      </c>
      <c r="J541" s="7">
        <f t="shared" si="171"/>
        <v>0.98075956340598425</v>
      </c>
      <c r="K541" s="6">
        <f t="shared" si="172"/>
        <v>22352</v>
      </c>
      <c r="L541" s="4">
        <v>26014</v>
      </c>
      <c r="M541" s="4"/>
    </row>
    <row r="542" spans="2:19" ht="18.5" customHeight="1">
      <c r="B542" s="13">
        <v>580</v>
      </c>
      <c r="C542" s="13" t="s">
        <v>20</v>
      </c>
      <c r="D542" s="14" t="s">
        <v>73</v>
      </c>
      <c r="E542" s="11">
        <v>6098900</v>
      </c>
      <c r="F542" s="8">
        <v>5680510</v>
      </c>
      <c r="G542" s="8">
        <v>0</v>
      </c>
      <c r="H542" s="5">
        <f t="shared" si="169"/>
        <v>5680510</v>
      </c>
      <c r="I542" s="5">
        <f t="shared" si="170"/>
        <v>418390</v>
      </c>
      <c r="J542" s="7">
        <f t="shared" si="171"/>
        <v>0.93139910475659549</v>
      </c>
      <c r="K542" s="6">
        <f t="shared" si="172"/>
        <v>83678</v>
      </c>
      <c r="L542" s="19">
        <v>19646.2</v>
      </c>
    </row>
    <row r="543" spans="2:19" ht="18.5" customHeight="1">
      <c r="B543" s="13">
        <v>580</v>
      </c>
      <c r="C543" s="13" t="s">
        <v>21</v>
      </c>
      <c r="D543" s="14" t="s">
        <v>73</v>
      </c>
      <c r="E543" s="5">
        <v>6826025</v>
      </c>
      <c r="F543" s="5">
        <v>6397489</v>
      </c>
      <c r="G543" s="5">
        <v>0</v>
      </c>
      <c r="H543" s="5">
        <f t="shared" si="169"/>
        <v>6397489</v>
      </c>
      <c r="I543" s="5">
        <f t="shared" si="170"/>
        <v>428536</v>
      </c>
      <c r="J543" s="7">
        <f t="shared" si="171"/>
        <v>0.93722027094831917</v>
      </c>
      <c r="K543" s="6">
        <f t="shared" si="172"/>
        <v>85707.200000000012</v>
      </c>
      <c r="L543" s="4">
        <v>0</v>
      </c>
      <c r="M543" s="4"/>
    </row>
    <row r="544" spans="2:19" s="24" customFormat="1" ht="18.5" customHeight="1">
      <c r="B544" s="27"/>
      <c r="C544" s="27"/>
      <c r="D544" s="28" t="s">
        <v>22</v>
      </c>
      <c r="E544" s="23">
        <f>SUM(E535:E543)/9</f>
        <v>5507625</v>
      </c>
      <c r="F544" s="23">
        <f>SUM(F535:F543)/9</f>
        <v>5053835.666666667</v>
      </c>
      <c r="G544" s="23">
        <f>SUM(G535:G543)/9</f>
        <v>273764.11111111112</v>
      </c>
      <c r="H544" s="23">
        <f>SUM(H535:H543)/9</f>
        <v>5327599.777777778</v>
      </c>
      <c r="I544" s="23">
        <f>SUM(I535:I543)/9</f>
        <v>180025.22222222222</v>
      </c>
      <c r="J544" s="29">
        <f>SUM(H544/E544)</f>
        <v>0.96731345684896453</v>
      </c>
      <c r="K544" s="23">
        <f>SUM(K535:K543)/9</f>
        <v>36005.044444444444</v>
      </c>
      <c r="L544" s="20">
        <f>SUM(L535:L543)/9</f>
        <v>46711.451111111113</v>
      </c>
      <c r="M544" s="20"/>
    </row>
    <row r="545" spans="2:19" s="24" customFormat="1" ht="18.5" customHeight="1">
      <c r="B545" s="27"/>
      <c r="C545" s="27"/>
      <c r="D545" s="28"/>
      <c r="E545" s="23"/>
      <c r="F545" s="23"/>
      <c r="G545" s="23"/>
      <c r="H545" s="23"/>
      <c r="I545" s="23"/>
      <c r="J545" s="29"/>
      <c r="K545" s="23"/>
      <c r="L545" s="20"/>
      <c r="M545" s="20"/>
    </row>
    <row r="546" spans="2:19" s="25" customFormat="1" ht="45.95" customHeight="1">
      <c r="B546" s="31" t="s">
        <v>1</v>
      </c>
      <c r="C546" s="31" t="s">
        <v>2</v>
      </c>
      <c r="D546" s="38" t="s">
        <v>3</v>
      </c>
      <c r="E546" s="37" t="s">
        <v>4</v>
      </c>
      <c r="F546" s="32" t="s">
        <v>5</v>
      </c>
      <c r="G546" s="32" t="s">
        <v>6</v>
      </c>
      <c r="H546" s="33" t="s">
        <v>7</v>
      </c>
      <c r="I546" s="33" t="s">
        <v>8</v>
      </c>
      <c r="J546" s="34" t="s">
        <v>9</v>
      </c>
      <c r="K546" s="33" t="s">
        <v>10</v>
      </c>
      <c r="L546" s="35" t="s">
        <v>11</v>
      </c>
      <c r="M546" s="36"/>
      <c r="N546" s="39"/>
      <c r="O546" s="40"/>
      <c r="P546" s="41"/>
      <c r="Q546" s="40"/>
      <c r="R546" s="42"/>
      <c r="S546" s="43"/>
    </row>
    <row r="547" spans="2:19" ht="18.5" customHeight="1">
      <c r="B547" s="13">
        <v>586</v>
      </c>
      <c r="C547" s="13" t="s">
        <v>12</v>
      </c>
      <c r="D547" s="14" t="s">
        <v>74</v>
      </c>
      <c r="E547" s="6">
        <v>9664504866</v>
      </c>
      <c r="F547" s="5">
        <v>9393910620</v>
      </c>
      <c r="G547" s="5">
        <v>254184161</v>
      </c>
      <c r="H547" s="5">
        <f t="shared" ref="H547:H555" si="173">SUM(F547+G547)</f>
        <v>9648094781</v>
      </c>
      <c r="I547" s="5">
        <f t="shared" ref="I547:I555" si="174">SUM(E547-H547)</f>
        <v>16410085</v>
      </c>
      <c r="J547" s="7">
        <f t="shared" ref="J547:J555" si="175">SUM(H547/E547)</f>
        <v>0.99830202527418332</v>
      </c>
      <c r="K547" s="6">
        <f t="shared" ref="K547:K555" si="176">SUM(I547*0.2)</f>
        <v>3282017</v>
      </c>
      <c r="L547" s="19">
        <v>1838137.9500000002</v>
      </c>
    </row>
    <row r="548" spans="2:19" ht="18.5" customHeight="1">
      <c r="B548" s="13">
        <v>586</v>
      </c>
      <c r="C548" s="13" t="s">
        <v>14</v>
      </c>
      <c r="D548" s="14" t="s">
        <v>74</v>
      </c>
      <c r="E548" s="6">
        <v>9862748728.3099995</v>
      </c>
      <c r="F548" s="5">
        <v>9567062908.4200001</v>
      </c>
      <c r="G548" s="5">
        <v>286149922.56</v>
      </c>
      <c r="H548" s="5">
        <f t="shared" si="173"/>
        <v>9853212830.9799995</v>
      </c>
      <c r="I548" s="5">
        <f t="shared" si="174"/>
        <v>9535897.3299999237</v>
      </c>
      <c r="J548" s="7">
        <f t="shared" si="175"/>
        <v>0.99903313999041377</v>
      </c>
      <c r="K548" s="6">
        <f t="shared" si="176"/>
        <v>1907179.4659999849</v>
      </c>
      <c r="L548" s="19">
        <v>2713801.08</v>
      </c>
    </row>
    <row r="549" spans="2:19" ht="18.5" customHeight="1">
      <c r="B549" s="13">
        <v>586</v>
      </c>
      <c r="C549" s="13" t="s">
        <v>15</v>
      </c>
      <c r="D549" s="14" t="s">
        <v>74</v>
      </c>
      <c r="E549" s="6">
        <v>9936886090</v>
      </c>
      <c r="F549" s="5">
        <v>9674179107</v>
      </c>
      <c r="G549" s="5">
        <v>252996901</v>
      </c>
      <c r="H549" s="5">
        <f t="shared" si="173"/>
        <v>9927176008</v>
      </c>
      <c r="I549" s="5">
        <f t="shared" si="174"/>
        <v>9710082</v>
      </c>
      <c r="J549" s="7">
        <f t="shared" si="175"/>
        <v>0.99902282446311108</v>
      </c>
      <c r="K549" s="6">
        <f t="shared" si="176"/>
        <v>1942016.4000000001</v>
      </c>
      <c r="L549" s="19">
        <v>3078040.79</v>
      </c>
    </row>
    <row r="550" spans="2:19" ht="18.5" customHeight="1">
      <c r="B550" s="13">
        <v>586</v>
      </c>
      <c r="C550" s="13" t="s">
        <v>16</v>
      </c>
      <c r="D550" s="14" t="s">
        <v>74</v>
      </c>
      <c r="E550" s="6">
        <v>10148648641</v>
      </c>
      <c r="F550" s="5">
        <v>9898319802</v>
      </c>
      <c r="G550" s="5">
        <v>237697007</v>
      </c>
      <c r="H550" s="5">
        <f t="shared" si="173"/>
        <v>10136016809</v>
      </c>
      <c r="I550" s="5">
        <f t="shared" si="174"/>
        <v>12631832</v>
      </c>
      <c r="J550" s="7">
        <f t="shared" si="175"/>
        <v>0.99875531881663848</v>
      </c>
      <c r="K550" s="6">
        <f t="shared" si="176"/>
        <v>2526366.4000000004</v>
      </c>
      <c r="L550" s="19">
        <v>1512735.1800000002</v>
      </c>
    </row>
    <row r="551" spans="2:19" ht="18.5" customHeight="1">
      <c r="B551" s="13">
        <v>586</v>
      </c>
      <c r="C551" s="13" t="s">
        <v>17</v>
      </c>
      <c r="D551" s="14" t="s">
        <v>74</v>
      </c>
      <c r="E551" s="6">
        <v>11104426131</v>
      </c>
      <c r="F551" s="5">
        <v>10834557627</v>
      </c>
      <c r="G551" s="5">
        <v>256557152</v>
      </c>
      <c r="H551" s="5">
        <f t="shared" si="173"/>
        <v>11091114779</v>
      </c>
      <c r="I551" s="5">
        <f t="shared" si="174"/>
        <v>13311352</v>
      </c>
      <c r="J551" s="7">
        <f t="shared" si="175"/>
        <v>0.998801257098479</v>
      </c>
      <c r="K551" s="6">
        <f t="shared" si="176"/>
        <v>2662270.4000000004</v>
      </c>
      <c r="L551" s="19">
        <v>1863028</v>
      </c>
    </row>
    <row r="552" spans="2:19" ht="18.5" customHeight="1">
      <c r="B552" s="13">
        <v>586</v>
      </c>
      <c r="C552" s="13" t="s">
        <v>18</v>
      </c>
      <c r="D552" s="14" t="s">
        <v>74</v>
      </c>
      <c r="E552" s="6">
        <v>11938592821</v>
      </c>
      <c r="F552" s="5">
        <v>11714575301</v>
      </c>
      <c r="G552" s="5">
        <v>175374467</v>
      </c>
      <c r="H552" s="5">
        <f t="shared" si="173"/>
        <v>11889949768</v>
      </c>
      <c r="I552" s="5">
        <f t="shared" si="174"/>
        <v>48643053</v>
      </c>
      <c r="J552" s="7">
        <f t="shared" si="175"/>
        <v>0.9959255622727633</v>
      </c>
      <c r="K552" s="6">
        <f t="shared" si="176"/>
        <v>9728610.5999999996</v>
      </c>
      <c r="L552" s="19">
        <v>3211000</v>
      </c>
    </row>
    <row r="553" spans="2:19" ht="18.5" customHeight="1">
      <c r="B553" s="13">
        <v>586</v>
      </c>
      <c r="C553" s="13" t="s">
        <v>19</v>
      </c>
      <c r="D553" s="14" t="s">
        <v>74</v>
      </c>
      <c r="E553" s="8">
        <v>12201336337</v>
      </c>
      <c r="F553" s="8">
        <v>12006788940</v>
      </c>
      <c r="G553" s="8">
        <v>99851526</v>
      </c>
      <c r="H553" s="5">
        <f t="shared" si="173"/>
        <v>12106640466</v>
      </c>
      <c r="I553" s="5">
        <f t="shared" si="174"/>
        <v>94695871</v>
      </c>
      <c r="J553" s="7">
        <f t="shared" si="175"/>
        <v>0.99223889347981997</v>
      </c>
      <c r="K553" s="6">
        <f t="shared" si="176"/>
        <v>18939174.199999999</v>
      </c>
      <c r="L553" s="4">
        <v>3069037</v>
      </c>
      <c r="M553" s="4"/>
    </row>
    <row r="554" spans="2:19" ht="18.5" customHeight="1">
      <c r="B554" s="13">
        <v>586</v>
      </c>
      <c r="C554" s="13" t="s">
        <v>20</v>
      </c>
      <c r="D554" s="14" t="s">
        <v>74</v>
      </c>
      <c r="E554" s="8">
        <v>12864031365</v>
      </c>
      <c r="F554" s="8">
        <v>12844996872</v>
      </c>
      <c r="G554" s="8">
        <v>0</v>
      </c>
      <c r="H554" s="5">
        <f t="shared" si="173"/>
        <v>12844996872</v>
      </c>
      <c r="I554" s="5">
        <f t="shared" si="174"/>
        <v>19034493</v>
      </c>
      <c r="J554" s="7">
        <f t="shared" si="175"/>
        <v>0.99852033219914338</v>
      </c>
      <c r="K554" s="6">
        <f t="shared" si="176"/>
        <v>3806898.6</v>
      </c>
      <c r="L554" s="19">
        <v>6853229.8200000003</v>
      </c>
    </row>
    <row r="555" spans="2:19" ht="18.5" customHeight="1">
      <c r="B555" s="13">
        <v>586</v>
      </c>
      <c r="C555" s="13" t="s">
        <v>21</v>
      </c>
      <c r="D555" s="14" t="s">
        <v>74</v>
      </c>
      <c r="E555" s="5">
        <v>13270541272</v>
      </c>
      <c r="F555" s="5">
        <v>13189560487.130001</v>
      </c>
      <c r="G555" s="5">
        <v>48042544</v>
      </c>
      <c r="H555" s="5">
        <f t="shared" si="173"/>
        <v>13237603031.130001</v>
      </c>
      <c r="I555" s="5">
        <f t="shared" si="174"/>
        <v>32938240.869998932</v>
      </c>
      <c r="J555" s="7">
        <f t="shared" si="175"/>
        <v>0.99751794292373763</v>
      </c>
      <c r="K555" s="6">
        <f t="shared" si="176"/>
        <v>6587648.1739997864</v>
      </c>
      <c r="L555" s="19">
        <v>7832740.5499999998</v>
      </c>
    </row>
    <row r="556" spans="2:19" s="24" customFormat="1" ht="18.5" customHeight="1">
      <c r="B556" s="27"/>
      <c r="C556" s="27"/>
      <c r="D556" s="28" t="s">
        <v>22</v>
      </c>
      <c r="E556" s="23">
        <f>SUM(E547:E555)/9</f>
        <v>11221301805.701111</v>
      </c>
      <c r="F556" s="23">
        <f>SUM(F547:F555)/9</f>
        <v>11013772407.172222</v>
      </c>
      <c r="G556" s="23">
        <f>SUM(G547:G555)/9</f>
        <v>178983742.28444445</v>
      </c>
      <c r="H556" s="23">
        <f>SUM(H547:H555)/9</f>
        <v>11192756149.456667</v>
      </c>
      <c r="I556" s="23">
        <f>SUM(I547:I555)/9</f>
        <v>28545656.244444318</v>
      </c>
      <c r="J556" s="29">
        <f>SUM(H556/E556)</f>
        <v>0.99745611901910158</v>
      </c>
      <c r="K556" s="23">
        <f>SUM(K547:K555)/9</f>
        <v>5709131.2488888642</v>
      </c>
      <c r="L556" s="20">
        <f>SUM(L547:L555)/9</f>
        <v>3552416.7077777777</v>
      </c>
      <c r="M556" s="20"/>
    </row>
    <row r="557" spans="2:19" s="24" customFormat="1" ht="18.5" customHeight="1">
      <c r="B557" s="27"/>
      <c r="C557" s="27"/>
      <c r="D557" s="28"/>
      <c r="E557" s="23"/>
      <c r="F557" s="23"/>
      <c r="G557" s="23"/>
      <c r="H557" s="23"/>
      <c r="I557" s="23"/>
      <c r="J557" s="29"/>
      <c r="K557" s="23"/>
      <c r="L557" s="20"/>
      <c r="M557" s="20"/>
    </row>
    <row r="558" spans="2:19" s="25" customFormat="1" ht="45.95" customHeight="1">
      <c r="B558" s="31" t="s">
        <v>1</v>
      </c>
      <c r="C558" s="31" t="s">
        <v>2</v>
      </c>
      <c r="D558" s="38" t="s">
        <v>3</v>
      </c>
      <c r="E558" s="37" t="s">
        <v>4</v>
      </c>
      <c r="F558" s="32" t="s">
        <v>5</v>
      </c>
      <c r="G558" s="32" t="s">
        <v>6</v>
      </c>
      <c r="H558" s="33" t="s">
        <v>7</v>
      </c>
      <c r="I558" s="33" t="s">
        <v>8</v>
      </c>
      <c r="J558" s="34" t="s">
        <v>9</v>
      </c>
      <c r="K558" s="33" t="s">
        <v>10</v>
      </c>
      <c r="L558" s="35" t="s">
        <v>11</v>
      </c>
      <c r="M558" s="36"/>
      <c r="N558" s="39"/>
      <c r="O558" s="40"/>
      <c r="P558" s="41"/>
      <c r="Q558" s="40"/>
      <c r="R558" s="42"/>
      <c r="S558" s="43"/>
    </row>
    <row r="559" spans="2:19" ht="18.5" customHeight="1">
      <c r="B559" s="13">
        <v>587</v>
      </c>
      <c r="C559" s="13" t="s">
        <v>12</v>
      </c>
      <c r="D559" s="14" t="s">
        <v>75</v>
      </c>
      <c r="E559" s="6">
        <v>31401700</v>
      </c>
      <c r="F559" s="5">
        <v>18319900</v>
      </c>
      <c r="G559" s="5">
        <v>12133100</v>
      </c>
      <c r="H559" s="5">
        <f t="shared" ref="H559:H567" si="177">SUM(F559+G559)</f>
        <v>30453000</v>
      </c>
      <c r="I559" s="5">
        <f t="shared" ref="I559:I567" si="178">SUM(E559-H559)</f>
        <v>948700</v>
      </c>
      <c r="J559" s="7">
        <f t="shared" ref="J559:J567" si="179">SUM(H559/E559)</f>
        <v>0.96978825987128081</v>
      </c>
      <c r="K559" s="6">
        <f t="shared" ref="K559:K567" si="180">SUM(I559*0.2)</f>
        <v>189740</v>
      </c>
      <c r="L559" s="19">
        <v>38854.910000000003</v>
      </c>
    </row>
    <row r="560" spans="2:19" ht="18.5" customHeight="1">
      <c r="B560" s="13">
        <v>587</v>
      </c>
      <c r="C560" s="13" t="s">
        <v>14</v>
      </c>
      <c r="D560" s="14" t="s">
        <v>75</v>
      </c>
      <c r="E560" s="6">
        <v>28704700</v>
      </c>
      <c r="F560" s="5">
        <v>14609900</v>
      </c>
      <c r="G560" s="5">
        <v>13608232</v>
      </c>
      <c r="H560" s="5">
        <f t="shared" si="177"/>
        <v>28218132</v>
      </c>
      <c r="I560" s="5">
        <f t="shared" si="178"/>
        <v>486568</v>
      </c>
      <c r="J560" s="7">
        <f t="shared" si="179"/>
        <v>0.98304918706692634</v>
      </c>
      <c r="K560" s="6">
        <f t="shared" si="180"/>
        <v>97313.600000000006</v>
      </c>
      <c r="L560" s="19">
        <v>48065.869999999995</v>
      </c>
    </row>
    <row r="561" spans="2:19" ht="18.5" customHeight="1">
      <c r="B561" s="13">
        <v>587</v>
      </c>
      <c r="C561" s="13" t="s">
        <v>15</v>
      </c>
      <c r="D561" s="14" t="s">
        <v>75</v>
      </c>
      <c r="E561" s="6">
        <v>28422500</v>
      </c>
      <c r="F561" s="5">
        <v>14676600</v>
      </c>
      <c r="G561" s="5">
        <v>13270100</v>
      </c>
      <c r="H561" s="5">
        <f t="shared" si="177"/>
        <v>27946700</v>
      </c>
      <c r="I561" s="5">
        <f t="shared" si="178"/>
        <v>475800</v>
      </c>
      <c r="J561" s="7">
        <f t="shared" si="179"/>
        <v>0.98325974140205818</v>
      </c>
      <c r="K561" s="6">
        <f t="shared" si="180"/>
        <v>95160</v>
      </c>
      <c r="L561" s="19">
        <v>195698.79</v>
      </c>
    </row>
    <row r="562" spans="2:19" ht="18.5" customHeight="1">
      <c r="B562" s="13">
        <v>587</v>
      </c>
      <c r="C562" s="13" t="s">
        <v>16</v>
      </c>
      <c r="D562" s="14" t="s">
        <v>75</v>
      </c>
      <c r="E562" s="6">
        <v>25829200</v>
      </c>
      <c r="F562" s="5">
        <v>14546700</v>
      </c>
      <c r="G562" s="5">
        <v>10884600</v>
      </c>
      <c r="H562" s="5">
        <f t="shared" si="177"/>
        <v>25431300</v>
      </c>
      <c r="I562" s="5">
        <f t="shared" si="178"/>
        <v>397900</v>
      </c>
      <c r="J562" s="7">
        <f t="shared" si="179"/>
        <v>0.98459495454756629</v>
      </c>
      <c r="K562" s="6">
        <f t="shared" si="180"/>
        <v>79580</v>
      </c>
      <c r="L562" s="19">
        <v>77750</v>
      </c>
    </row>
    <row r="563" spans="2:19" ht="18.5" customHeight="1">
      <c r="B563" s="13">
        <v>587</v>
      </c>
      <c r="C563" s="13" t="s">
        <v>17</v>
      </c>
      <c r="D563" s="14" t="s">
        <v>75</v>
      </c>
      <c r="E563" s="6">
        <v>27979800</v>
      </c>
      <c r="F563" s="5">
        <v>10110400</v>
      </c>
      <c r="G563" s="5">
        <v>17480565</v>
      </c>
      <c r="H563" s="5">
        <f t="shared" si="177"/>
        <v>27590965</v>
      </c>
      <c r="I563" s="5">
        <f t="shared" si="178"/>
        <v>388835</v>
      </c>
      <c r="J563" s="7">
        <f t="shared" si="179"/>
        <v>0.98610301002866352</v>
      </c>
      <c r="K563" s="6">
        <f t="shared" si="180"/>
        <v>77767</v>
      </c>
      <c r="L563" s="19">
        <v>94534</v>
      </c>
    </row>
    <row r="564" spans="2:19" ht="18.5" customHeight="1">
      <c r="B564" s="13">
        <v>587</v>
      </c>
      <c r="C564" s="13" t="s">
        <v>18</v>
      </c>
      <c r="D564" s="14" t="s">
        <v>75</v>
      </c>
      <c r="E564" s="6">
        <v>20937800</v>
      </c>
      <c r="F564" s="5">
        <v>7195600</v>
      </c>
      <c r="G564" s="5">
        <v>13347040</v>
      </c>
      <c r="H564" s="5">
        <f t="shared" si="177"/>
        <v>20542640</v>
      </c>
      <c r="I564" s="5">
        <f t="shared" si="178"/>
        <v>395160</v>
      </c>
      <c r="J564" s="7">
        <f t="shared" si="179"/>
        <v>0.98112695698688501</v>
      </c>
      <c r="K564" s="6">
        <f t="shared" si="180"/>
        <v>79032</v>
      </c>
      <c r="L564" s="19">
        <v>318124</v>
      </c>
    </row>
    <row r="565" spans="2:19" ht="18.5" customHeight="1">
      <c r="B565" s="13">
        <v>587</v>
      </c>
      <c r="C565" s="13" t="s">
        <v>19</v>
      </c>
      <c r="D565" s="14" t="s">
        <v>75</v>
      </c>
      <c r="E565" s="11">
        <v>39331800</v>
      </c>
      <c r="F565" s="8">
        <v>12934900</v>
      </c>
      <c r="G565" s="8">
        <v>25383850</v>
      </c>
      <c r="H565" s="5">
        <f t="shared" si="177"/>
        <v>38318750</v>
      </c>
      <c r="I565" s="5">
        <f t="shared" si="178"/>
        <v>1013050</v>
      </c>
      <c r="J565" s="7">
        <f t="shared" si="179"/>
        <v>0.97424348745798561</v>
      </c>
      <c r="K565" s="6">
        <f t="shared" si="180"/>
        <v>202610</v>
      </c>
      <c r="L565" s="4">
        <v>57951</v>
      </c>
      <c r="M565" s="4"/>
    </row>
    <row r="566" spans="2:19" ht="18.5" customHeight="1">
      <c r="B566" s="13">
        <v>587</v>
      </c>
      <c r="C566" s="13" t="s">
        <v>20</v>
      </c>
      <c r="D566" s="14" t="s">
        <v>75</v>
      </c>
      <c r="E566" s="11">
        <v>34045200</v>
      </c>
      <c r="F566" s="8">
        <v>20186000</v>
      </c>
      <c r="G566" s="8">
        <v>4475500</v>
      </c>
      <c r="H566" s="5">
        <f t="shared" si="177"/>
        <v>24661500</v>
      </c>
      <c r="I566" s="5">
        <f t="shared" si="178"/>
        <v>9383700</v>
      </c>
      <c r="J566" s="7">
        <f t="shared" si="179"/>
        <v>0.72437524232490924</v>
      </c>
      <c r="K566" s="6">
        <f t="shared" si="180"/>
        <v>1876740</v>
      </c>
      <c r="L566" s="19">
        <v>326304.28000000003</v>
      </c>
    </row>
    <row r="567" spans="2:19" ht="18.5" customHeight="1">
      <c r="B567" s="13">
        <v>587</v>
      </c>
      <c r="C567" s="13" t="s">
        <v>21</v>
      </c>
      <c r="D567" s="14" t="s">
        <v>75</v>
      </c>
      <c r="E567" s="5">
        <v>80789400</v>
      </c>
      <c r="F567" s="5">
        <v>77037900</v>
      </c>
      <c r="G567" s="5">
        <v>2468450</v>
      </c>
      <c r="H567" s="5">
        <f t="shared" si="177"/>
        <v>79506350</v>
      </c>
      <c r="I567" s="5">
        <f t="shared" si="178"/>
        <v>1283050</v>
      </c>
      <c r="J567" s="7">
        <f t="shared" si="179"/>
        <v>0.98411858486385595</v>
      </c>
      <c r="K567" s="6">
        <f t="shared" si="180"/>
        <v>256610</v>
      </c>
      <c r="L567" s="19">
        <v>297018.02999999997</v>
      </c>
    </row>
    <row r="568" spans="2:19" s="24" customFormat="1" ht="18.5" customHeight="1">
      <c r="B568" s="27"/>
      <c r="C568" s="27"/>
      <c r="D568" s="28" t="s">
        <v>22</v>
      </c>
      <c r="E568" s="23">
        <f>SUM(E559:E567)/9</f>
        <v>35271344.444444448</v>
      </c>
      <c r="F568" s="23">
        <f>SUM(F559:F567)/9</f>
        <v>21068655.555555556</v>
      </c>
      <c r="G568" s="23">
        <f>SUM(G559:G567)/9</f>
        <v>12561270.777777778</v>
      </c>
      <c r="H568" s="23">
        <f>SUM(H559:H567)/9</f>
        <v>33629926.333333336</v>
      </c>
      <c r="I568" s="23">
        <f>SUM(I559:I567)/9</f>
        <v>1641418.111111111</v>
      </c>
      <c r="J568" s="29">
        <f>SUM(H568/E568)</f>
        <v>0.95346312603148731</v>
      </c>
      <c r="K568" s="23">
        <f>SUM(K559:K567)/9</f>
        <v>328283.62222222221</v>
      </c>
      <c r="L568" s="20">
        <f>SUM(L559:L567)/9</f>
        <v>161588.98666666669</v>
      </c>
      <c r="M568" s="20"/>
    </row>
    <row r="569" spans="2:19" s="24" customFormat="1" ht="18.5" customHeight="1">
      <c r="B569" s="27"/>
      <c r="C569" s="27"/>
      <c r="D569" s="28"/>
      <c r="E569" s="23"/>
      <c r="F569" s="23"/>
      <c r="G569" s="23"/>
      <c r="H569" s="23"/>
      <c r="I569" s="23"/>
      <c r="J569" s="29"/>
      <c r="K569" s="23"/>
      <c r="L569" s="20"/>
      <c r="M569" s="20"/>
    </row>
    <row r="570" spans="2:19" s="25" customFormat="1" ht="45.95" customHeight="1">
      <c r="B570" s="31" t="s">
        <v>1</v>
      </c>
      <c r="C570" s="31" t="s">
        <v>2</v>
      </c>
      <c r="D570" s="38" t="s">
        <v>3</v>
      </c>
      <c r="E570" s="37" t="s">
        <v>4</v>
      </c>
      <c r="F570" s="32" t="s">
        <v>5</v>
      </c>
      <c r="G570" s="32" t="s">
        <v>6</v>
      </c>
      <c r="H570" s="33" t="s">
        <v>7</v>
      </c>
      <c r="I570" s="33" t="s">
        <v>8</v>
      </c>
      <c r="J570" s="34" t="s">
        <v>9</v>
      </c>
      <c r="K570" s="33" t="s">
        <v>10</v>
      </c>
      <c r="L570" s="35" t="s">
        <v>11</v>
      </c>
      <c r="M570" s="36"/>
      <c r="N570" s="39"/>
      <c r="O570" s="40"/>
      <c r="P570" s="41"/>
      <c r="Q570" s="40"/>
      <c r="R570" s="42"/>
      <c r="S570" s="43"/>
    </row>
    <row r="571" spans="2:19" ht="18.5" customHeight="1">
      <c r="B571" s="13">
        <v>588</v>
      </c>
      <c r="C571" s="13" t="s">
        <v>12</v>
      </c>
      <c r="D571" s="14" t="s">
        <v>76</v>
      </c>
      <c r="E571" s="6">
        <v>613130100</v>
      </c>
      <c r="F571" s="5">
        <v>50244500</v>
      </c>
      <c r="G571" s="5">
        <v>561494500</v>
      </c>
      <c r="H571" s="5">
        <f t="shared" ref="H571:H579" si="181">SUM(F571+G571)</f>
        <v>611739000</v>
      </c>
      <c r="I571" s="5">
        <f t="shared" ref="I571:I579" si="182">SUM(E571-H571)</f>
        <v>1391100</v>
      </c>
      <c r="J571" s="7">
        <f t="shared" ref="J571:J579" si="183">SUM(H571/E571)</f>
        <v>0.99773115037085935</v>
      </c>
      <c r="K571" s="6">
        <f t="shared" ref="K571:K579" si="184">SUM(I571*0.2)</f>
        <v>278220</v>
      </c>
      <c r="L571" s="19">
        <v>435189.07</v>
      </c>
    </row>
    <row r="572" spans="2:19" ht="18.5" customHeight="1">
      <c r="B572" s="13">
        <v>588</v>
      </c>
      <c r="C572" s="13" t="s">
        <v>14</v>
      </c>
      <c r="D572" s="14" t="s">
        <v>76</v>
      </c>
      <c r="E572" s="6">
        <v>502148400</v>
      </c>
      <c r="F572" s="5">
        <v>161090311</v>
      </c>
      <c r="G572" s="5">
        <v>314595789</v>
      </c>
      <c r="H572" s="5">
        <f t="shared" si="181"/>
        <v>475686100</v>
      </c>
      <c r="I572" s="5">
        <f t="shared" si="182"/>
        <v>26462300</v>
      </c>
      <c r="J572" s="7">
        <f t="shared" si="183"/>
        <v>0.94730183348189501</v>
      </c>
      <c r="K572" s="6">
        <f t="shared" si="184"/>
        <v>5292460</v>
      </c>
      <c r="L572" s="19">
        <v>495873.89</v>
      </c>
    </row>
    <row r="573" spans="2:19" ht="18.5" customHeight="1">
      <c r="B573" s="13">
        <v>588</v>
      </c>
      <c r="C573" s="13" t="s">
        <v>15</v>
      </c>
      <c r="D573" s="14" t="s">
        <v>76</v>
      </c>
      <c r="E573" s="6">
        <v>509845400</v>
      </c>
      <c r="F573" s="5">
        <v>28251300</v>
      </c>
      <c r="G573" s="5">
        <v>480100100</v>
      </c>
      <c r="H573" s="5">
        <f t="shared" si="181"/>
        <v>508351400</v>
      </c>
      <c r="I573" s="5">
        <f t="shared" si="182"/>
        <v>1494000</v>
      </c>
      <c r="J573" s="7">
        <f t="shared" si="183"/>
        <v>0.99706969995218153</v>
      </c>
      <c r="K573" s="6">
        <f t="shared" si="184"/>
        <v>298800</v>
      </c>
      <c r="L573" s="19">
        <v>158704.89000000001</v>
      </c>
    </row>
    <row r="574" spans="2:19" ht="18.5" customHeight="1">
      <c r="B574" s="13">
        <v>588</v>
      </c>
      <c r="C574" s="13" t="s">
        <v>16</v>
      </c>
      <c r="D574" s="14" t="s">
        <v>76</v>
      </c>
      <c r="E574" s="6">
        <v>484320400.00000006</v>
      </c>
      <c r="F574" s="5">
        <v>155076609</v>
      </c>
      <c r="G574" s="5">
        <v>327252545</v>
      </c>
      <c r="H574" s="5">
        <f t="shared" si="181"/>
        <v>482329154</v>
      </c>
      <c r="I574" s="5">
        <f t="shared" si="182"/>
        <v>1991246.0000000596</v>
      </c>
      <c r="J574" s="7">
        <f t="shared" si="183"/>
        <v>0.99588857706592571</v>
      </c>
      <c r="K574" s="6">
        <f t="shared" si="184"/>
        <v>398249.20000001194</v>
      </c>
      <c r="L574" s="19">
        <v>798373.28999999992</v>
      </c>
    </row>
    <row r="575" spans="2:19" ht="18.5" customHeight="1">
      <c r="B575" s="13">
        <v>588</v>
      </c>
      <c r="C575" s="13" t="s">
        <v>17</v>
      </c>
      <c r="D575" s="14" t="s">
        <v>76</v>
      </c>
      <c r="E575" s="6">
        <v>512986200</v>
      </c>
      <c r="F575" s="5">
        <v>165376747</v>
      </c>
      <c r="G575" s="5">
        <v>346992639</v>
      </c>
      <c r="H575" s="5">
        <f t="shared" si="181"/>
        <v>512369386</v>
      </c>
      <c r="I575" s="5">
        <f t="shared" si="182"/>
        <v>616814</v>
      </c>
      <c r="J575" s="7">
        <f t="shared" si="183"/>
        <v>0.99879760118303373</v>
      </c>
      <c r="K575" s="6">
        <f t="shared" si="184"/>
        <v>123362.8</v>
      </c>
      <c r="L575" s="19">
        <v>190849</v>
      </c>
    </row>
    <row r="576" spans="2:19" ht="18.5" customHeight="1">
      <c r="B576" s="13">
        <v>588</v>
      </c>
      <c r="C576" s="13" t="s">
        <v>18</v>
      </c>
      <c r="D576" s="14" t="s">
        <v>76</v>
      </c>
      <c r="E576" s="6">
        <v>516121050</v>
      </c>
      <c r="F576" s="5">
        <v>161495286</v>
      </c>
      <c r="G576" s="5">
        <v>354067877</v>
      </c>
      <c r="H576" s="5">
        <f t="shared" si="181"/>
        <v>515563163</v>
      </c>
      <c r="I576" s="5">
        <f t="shared" si="182"/>
        <v>557887</v>
      </c>
      <c r="J576" s="7">
        <f t="shared" si="183"/>
        <v>0.99891907722035367</v>
      </c>
      <c r="K576" s="6">
        <f t="shared" si="184"/>
        <v>111577.40000000001</v>
      </c>
      <c r="L576" s="19">
        <v>205735</v>
      </c>
    </row>
    <row r="577" spans="2:19" ht="18.5" customHeight="1">
      <c r="B577" s="13">
        <v>588</v>
      </c>
      <c r="C577" s="13" t="s">
        <v>19</v>
      </c>
      <c r="D577" s="14" t="s">
        <v>76</v>
      </c>
      <c r="E577" s="8">
        <v>521796599</v>
      </c>
      <c r="F577" s="8">
        <v>174352137</v>
      </c>
      <c r="G577" s="8">
        <v>346840441</v>
      </c>
      <c r="H577" s="5">
        <f t="shared" si="181"/>
        <v>521192578</v>
      </c>
      <c r="I577" s="5">
        <f t="shared" si="182"/>
        <v>604021</v>
      </c>
      <c r="J577" s="7">
        <f t="shared" si="183"/>
        <v>0.99884242058848682</v>
      </c>
      <c r="K577" s="6">
        <f t="shared" si="184"/>
        <v>120804.20000000001</v>
      </c>
      <c r="L577" s="4">
        <v>252080</v>
      </c>
      <c r="M577" s="4"/>
    </row>
    <row r="578" spans="2:19" ht="18.5" customHeight="1">
      <c r="B578" s="13">
        <v>588</v>
      </c>
      <c r="C578" s="13" t="s">
        <v>20</v>
      </c>
      <c r="D578" s="14" t="s">
        <v>76</v>
      </c>
      <c r="E578" s="8">
        <v>554320400</v>
      </c>
      <c r="F578" s="8">
        <v>553272534</v>
      </c>
      <c r="G578" s="8">
        <v>252000</v>
      </c>
      <c r="H578" s="5">
        <f t="shared" si="181"/>
        <v>553524534</v>
      </c>
      <c r="I578" s="5">
        <f t="shared" si="182"/>
        <v>795866</v>
      </c>
      <c r="J578" s="7">
        <f t="shared" si="183"/>
        <v>0.99856424912379194</v>
      </c>
      <c r="K578" s="6">
        <f t="shared" si="184"/>
        <v>159173.20000000001</v>
      </c>
      <c r="L578" s="19">
        <v>36961198.609999992</v>
      </c>
    </row>
    <row r="579" spans="2:19" ht="18.5" customHeight="1">
      <c r="B579" s="13">
        <v>588</v>
      </c>
      <c r="C579" s="13" t="s">
        <v>21</v>
      </c>
      <c r="D579" s="14" t="s">
        <v>76</v>
      </c>
      <c r="E579" s="5">
        <v>2601502200</v>
      </c>
      <c r="F579" s="5">
        <v>2600086450</v>
      </c>
      <c r="G579" s="5">
        <v>633500</v>
      </c>
      <c r="H579" s="5">
        <f t="shared" si="181"/>
        <v>2600719950</v>
      </c>
      <c r="I579" s="5">
        <f t="shared" si="182"/>
        <v>782250</v>
      </c>
      <c r="J579" s="7">
        <f t="shared" si="183"/>
        <v>0.99969930834577037</v>
      </c>
      <c r="K579" s="6">
        <f t="shared" si="184"/>
        <v>156450</v>
      </c>
      <c r="L579" s="19">
        <v>13906500.820000002</v>
      </c>
    </row>
    <row r="580" spans="2:19" s="24" customFormat="1" ht="18.5" customHeight="1">
      <c r="B580" s="27"/>
      <c r="C580" s="27"/>
      <c r="D580" s="28" t="s">
        <v>22</v>
      </c>
      <c r="E580" s="23">
        <f>SUM(E571:E579)/9</f>
        <v>757352305.44444442</v>
      </c>
      <c r="F580" s="23">
        <f>SUM(F571:F579)/9</f>
        <v>449916208.22222221</v>
      </c>
      <c r="G580" s="23">
        <f>SUM(G571:G579)/9</f>
        <v>303581043.44444442</v>
      </c>
      <c r="H580" s="23">
        <f>SUM(H571:H579)/9</f>
        <v>753497251.66666663</v>
      </c>
      <c r="I580" s="23">
        <f>SUM(I571:I579)/9</f>
        <v>3855053.7777777845</v>
      </c>
      <c r="J580" s="29">
        <f>SUM(H580/E580)</f>
        <v>0.99490982763231239</v>
      </c>
      <c r="K580" s="23">
        <f>SUM(K571:K579)/9</f>
        <v>771010.75555555697</v>
      </c>
      <c r="L580" s="20">
        <f>SUM(L571:L579)/9</f>
        <v>5933833.8411111105</v>
      </c>
      <c r="M580" s="20"/>
    </row>
    <row r="581" spans="2:19" s="24" customFormat="1" ht="18.5" customHeight="1">
      <c r="B581" s="27"/>
      <c r="C581" s="27"/>
      <c r="D581" s="28"/>
      <c r="E581" s="23"/>
      <c r="F581" s="23"/>
      <c r="G581" s="23"/>
      <c r="H581" s="23"/>
      <c r="I581" s="23"/>
      <c r="J581" s="29"/>
      <c r="K581" s="23"/>
      <c r="L581" s="20"/>
      <c r="M581" s="20"/>
    </row>
    <row r="582" spans="2:19" s="25" customFormat="1" ht="45.95" customHeight="1">
      <c r="B582" s="31" t="s">
        <v>1</v>
      </c>
      <c r="C582" s="31" t="s">
        <v>2</v>
      </c>
      <c r="D582" s="38" t="s">
        <v>3</v>
      </c>
      <c r="E582" s="37" t="s">
        <v>4</v>
      </c>
      <c r="F582" s="32" t="s">
        <v>5</v>
      </c>
      <c r="G582" s="32" t="s">
        <v>6</v>
      </c>
      <c r="H582" s="33" t="s">
        <v>7</v>
      </c>
      <c r="I582" s="33" t="s">
        <v>8</v>
      </c>
      <c r="J582" s="34" t="s">
        <v>9</v>
      </c>
      <c r="K582" s="33" t="s">
        <v>10</v>
      </c>
      <c r="L582" s="35" t="s">
        <v>11</v>
      </c>
      <c r="M582" s="36"/>
      <c r="N582" s="39"/>
      <c r="O582" s="40"/>
      <c r="P582" s="41"/>
      <c r="Q582" s="40"/>
      <c r="R582" s="42"/>
      <c r="S582" s="43"/>
    </row>
    <row r="583" spans="2:19" ht="18.5" customHeight="1">
      <c r="B583" s="13">
        <v>590</v>
      </c>
      <c r="C583" s="13" t="s">
        <v>12</v>
      </c>
      <c r="D583" s="14" t="s">
        <v>77</v>
      </c>
      <c r="E583" s="6">
        <v>1559400</v>
      </c>
      <c r="F583" s="5">
        <v>1373100</v>
      </c>
      <c r="G583" s="5">
        <v>61170</v>
      </c>
      <c r="H583" s="5">
        <f t="shared" ref="H583:H591" si="185">SUM(F583+G583)</f>
        <v>1434270</v>
      </c>
      <c r="I583" s="5">
        <f t="shared" ref="I583:I591" si="186">SUM(E583-H583)</f>
        <v>125130</v>
      </c>
      <c r="J583" s="7">
        <f t="shared" ref="J583:J591" si="187">SUM(H583/E583)</f>
        <v>0.91975759907656796</v>
      </c>
      <c r="K583" s="6">
        <f t="shared" ref="K583:K591" si="188">SUM(I583*0.2)</f>
        <v>25026</v>
      </c>
      <c r="L583" s="19">
        <v>16228.339999999998</v>
      </c>
    </row>
    <row r="584" spans="2:19" ht="18.5" customHeight="1">
      <c r="B584" s="13">
        <v>590</v>
      </c>
      <c r="C584" s="13" t="s">
        <v>14</v>
      </c>
      <c r="D584" s="14" t="s">
        <v>77</v>
      </c>
      <c r="E584" s="6">
        <v>1559400</v>
      </c>
      <c r="F584" s="5">
        <v>1378300</v>
      </c>
      <c r="G584" s="5">
        <v>151434</v>
      </c>
      <c r="H584" s="5">
        <f t="shared" si="185"/>
        <v>1529734</v>
      </c>
      <c r="I584" s="5">
        <f t="shared" si="186"/>
        <v>29666</v>
      </c>
      <c r="J584" s="7">
        <f t="shared" si="187"/>
        <v>0.98097601641657051</v>
      </c>
      <c r="K584" s="6">
        <f t="shared" si="188"/>
        <v>5933.2000000000007</v>
      </c>
      <c r="L584" s="19">
        <v>60034.009999999995</v>
      </c>
    </row>
    <row r="585" spans="2:19" ht="18.5" customHeight="1">
      <c r="B585" s="13">
        <v>590</v>
      </c>
      <c r="C585" s="13" t="s">
        <v>15</v>
      </c>
      <c r="D585" s="14" t="s">
        <v>77</v>
      </c>
      <c r="E585" s="6">
        <v>1325500</v>
      </c>
      <c r="F585" s="5">
        <v>1224950</v>
      </c>
      <c r="G585" s="5">
        <v>91070</v>
      </c>
      <c r="H585" s="5">
        <f t="shared" si="185"/>
        <v>1316020</v>
      </c>
      <c r="I585" s="5">
        <f t="shared" si="186"/>
        <v>9480</v>
      </c>
      <c r="J585" s="7">
        <f t="shared" si="187"/>
        <v>0.992847981893625</v>
      </c>
      <c r="K585" s="6">
        <f t="shared" si="188"/>
        <v>1896</v>
      </c>
      <c r="L585" s="19">
        <v>54556.700000000004</v>
      </c>
    </row>
    <row r="586" spans="2:19" ht="18.5" customHeight="1">
      <c r="B586" s="13">
        <v>590</v>
      </c>
      <c r="C586" s="13" t="s">
        <v>16</v>
      </c>
      <c r="D586" s="14" t="s">
        <v>77</v>
      </c>
      <c r="E586" s="6">
        <v>1219500</v>
      </c>
      <c r="F586" s="5">
        <v>1120700</v>
      </c>
      <c r="G586" s="5">
        <v>68932</v>
      </c>
      <c r="H586" s="5">
        <f t="shared" si="185"/>
        <v>1189632</v>
      </c>
      <c r="I586" s="5">
        <f t="shared" si="186"/>
        <v>29868</v>
      </c>
      <c r="J586" s="7">
        <f t="shared" si="187"/>
        <v>0.97550799507995078</v>
      </c>
      <c r="K586" s="6">
        <f t="shared" si="188"/>
        <v>5973.6</v>
      </c>
      <c r="L586" s="19">
        <v>0</v>
      </c>
    </row>
    <row r="587" spans="2:19" ht="18.5" customHeight="1">
      <c r="B587" s="13">
        <v>590</v>
      </c>
      <c r="C587" s="13" t="s">
        <v>17</v>
      </c>
      <c r="D587" s="14" t="s">
        <v>77</v>
      </c>
      <c r="E587" s="6">
        <v>1270400</v>
      </c>
      <c r="F587" s="5">
        <v>1155500</v>
      </c>
      <c r="G587" s="5">
        <v>86300</v>
      </c>
      <c r="H587" s="5">
        <f t="shared" si="185"/>
        <v>1241800</v>
      </c>
      <c r="I587" s="5">
        <f t="shared" si="186"/>
        <v>28600</v>
      </c>
      <c r="J587" s="7">
        <f t="shared" si="187"/>
        <v>0.97748740554156166</v>
      </c>
      <c r="K587" s="6">
        <f t="shared" si="188"/>
        <v>5720</v>
      </c>
      <c r="L587" s="19">
        <v>9862</v>
      </c>
    </row>
    <row r="588" spans="2:19" ht="18.5" customHeight="1">
      <c r="B588" s="13">
        <v>590</v>
      </c>
      <c r="C588" s="13" t="s">
        <v>18</v>
      </c>
      <c r="D588" s="14" t="s">
        <v>77</v>
      </c>
      <c r="E588" s="6">
        <v>1391100</v>
      </c>
      <c r="F588" s="5">
        <v>1256900</v>
      </c>
      <c r="G588" s="5">
        <v>107112</v>
      </c>
      <c r="H588" s="5">
        <f t="shared" si="185"/>
        <v>1364012</v>
      </c>
      <c r="I588" s="5">
        <f t="shared" si="186"/>
        <v>27088</v>
      </c>
      <c r="J588" s="7">
        <f t="shared" si="187"/>
        <v>0.98052763999712456</v>
      </c>
      <c r="K588" s="6">
        <f t="shared" si="188"/>
        <v>5417.6</v>
      </c>
      <c r="L588" s="19">
        <v>4035</v>
      </c>
    </row>
    <row r="589" spans="2:19" ht="18.5" customHeight="1">
      <c r="B589" s="13">
        <v>590</v>
      </c>
      <c r="C589" s="13" t="s">
        <v>19</v>
      </c>
      <c r="D589" s="14" t="s">
        <v>77</v>
      </c>
      <c r="E589" s="11">
        <v>1639500</v>
      </c>
      <c r="F589" s="8">
        <v>1422800</v>
      </c>
      <c r="G589" s="8">
        <v>149612</v>
      </c>
      <c r="H589" s="5">
        <f t="shared" si="185"/>
        <v>1572412</v>
      </c>
      <c r="I589" s="5">
        <f t="shared" si="186"/>
        <v>67088</v>
      </c>
      <c r="J589" s="7">
        <f t="shared" si="187"/>
        <v>0.95908020738029887</v>
      </c>
      <c r="K589" s="6">
        <f t="shared" si="188"/>
        <v>13417.6</v>
      </c>
      <c r="L589" s="4">
        <v>8614</v>
      </c>
      <c r="M589" s="4"/>
    </row>
    <row r="590" spans="2:19" ht="18.5" customHeight="1">
      <c r="B590" s="13">
        <v>590</v>
      </c>
      <c r="C590" s="13" t="s">
        <v>20</v>
      </c>
      <c r="D590" s="14" t="s">
        <v>77</v>
      </c>
      <c r="E590" s="11">
        <v>1734000</v>
      </c>
      <c r="F590" s="8">
        <v>1562200</v>
      </c>
      <c r="G590" s="8">
        <v>120200</v>
      </c>
      <c r="H590" s="5">
        <f t="shared" si="185"/>
        <v>1682400</v>
      </c>
      <c r="I590" s="5">
        <f t="shared" si="186"/>
        <v>51600</v>
      </c>
      <c r="J590" s="7">
        <f t="shared" si="187"/>
        <v>0.97024221453287196</v>
      </c>
      <c r="K590" s="6">
        <f t="shared" si="188"/>
        <v>10320</v>
      </c>
      <c r="L590" s="19">
        <v>1044.53</v>
      </c>
    </row>
    <row r="591" spans="2:19" ht="18.5" customHeight="1">
      <c r="B591" s="13">
        <v>590</v>
      </c>
      <c r="C591" s="13" t="s">
        <v>21</v>
      </c>
      <c r="D591" s="14" t="s">
        <v>77</v>
      </c>
      <c r="E591" s="5">
        <v>1743000</v>
      </c>
      <c r="F591" s="5">
        <v>1458800</v>
      </c>
      <c r="G591" s="5">
        <v>148000</v>
      </c>
      <c r="H591" s="5">
        <f t="shared" si="185"/>
        <v>1606800</v>
      </c>
      <c r="I591" s="5">
        <f t="shared" si="186"/>
        <v>136200</v>
      </c>
      <c r="J591" s="7">
        <f t="shared" si="187"/>
        <v>0.92185886402753869</v>
      </c>
      <c r="K591" s="6">
        <f t="shared" si="188"/>
        <v>27240</v>
      </c>
      <c r="L591" s="19">
        <v>2728.2</v>
      </c>
    </row>
    <row r="592" spans="2:19" s="24" customFormat="1" ht="18.5" customHeight="1">
      <c r="B592" s="27"/>
      <c r="C592" s="27"/>
      <c r="D592" s="28" t="s">
        <v>22</v>
      </c>
      <c r="E592" s="23">
        <f>SUM(E583:E591)/9</f>
        <v>1493533.3333333333</v>
      </c>
      <c r="F592" s="23">
        <f>SUM(F583:F591)/9</f>
        <v>1328138.888888889</v>
      </c>
      <c r="G592" s="23">
        <f>SUM(G583:G591)/9</f>
        <v>109314.44444444444</v>
      </c>
      <c r="H592" s="23">
        <f>SUM(H583:H591)/9</f>
        <v>1437453.3333333333</v>
      </c>
      <c r="I592" s="23">
        <f>SUM(I583:I591)/9</f>
        <v>56080</v>
      </c>
      <c r="J592" s="29">
        <f>SUM(H592/E592)</f>
        <v>0.96245145739409899</v>
      </c>
      <c r="K592" s="23">
        <f>SUM(K583:K591)/9</f>
        <v>11216</v>
      </c>
      <c r="L592" s="20">
        <f>SUM(L583:L591)/9</f>
        <v>17455.864444444444</v>
      </c>
      <c r="M592" s="20"/>
    </row>
    <row r="593" spans="2:19" s="24" customFormat="1" ht="18.5" customHeight="1">
      <c r="B593" s="27"/>
      <c r="C593" s="27"/>
      <c r="D593" s="28"/>
      <c r="E593" s="23"/>
      <c r="F593" s="23"/>
      <c r="G593" s="23"/>
      <c r="H593" s="23"/>
      <c r="I593" s="23"/>
      <c r="J593" s="29"/>
      <c r="K593" s="23"/>
      <c r="L593" s="20"/>
      <c r="M593" s="20"/>
    </row>
    <row r="594" spans="2:19" s="25" customFormat="1" ht="45.95" customHeight="1">
      <c r="B594" s="31" t="s">
        <v>1</v>
      </c>
      <c r="C594" s="31" t="s">
        <v>2</v>
      </c>
      <c r="D594" s="38" t="s">
        <v>3</v>
      </c>
      <c r="E594" s="37" t="s">
        <v>4</v>
      </c>
      <c r="F594" s="32" t="s">
        <v>5</v>
      </c>
      <c r="G594" s="32" t="s">
        <v>6</v>
      </c>
      <c r="H594" s="33" t="s">
        <v>7</v>
      </c>
      <c r="I594" s="33" t="s">
        <v>8</v>
      </c>
      <c r="J594" s="34" t="s">
        <v>9</v>
      </c>
      <c r="K594" s="33" t="s">
        <v>10</v>
      </c>
      <c r="L594" s="35" t="s">
        <v>11</v>
      </c>
      <c r="M594" s="36"/>
      <c r="N594" s="39"/>
      <c r="O594" s="40"/>
      <c r="P594" s="41"/>
      <c r="Q594" s="40"/>
      <c r="R594" s="42"/>
      <c r="S594" s="43"/>
    </row>
    <row r="595" spans="2:19" ht="18.5" customHeight="1">
      <c r="B595" s="13">
        <v>592</v>
      </c>
      <c r="C595" s="13" t="s">
        <v>12</v>
      </c>
      <c r="D595" s="14" t="s">
        <v>78</v>
      </c>
      <c r="E595" s="6">
        <v>39041400</v>
      </c>
      <c r="F595" s="5">
        <v>35017600</v>
      </c>
      <c r="G595" s="5">
        <v>3453200</v>
      </c>
      <c r="H595" s="5">
        <f t="shared" ref="H595:H603" si="189">SUM(F595+G595)</f>
        <v>38470800</v>
      </c>
      <c r="I595" s="5">
        <f t="shared" ref="I595:I603" si="190">SUM(E595-H595)</f>
        <v>570600</v>
      </c>
      <c r="J595" s="7">
        <f t="shared" ref="J595:J603" si="191">SUM(H595/E595)</f>
        <v>0.98538474542408827</v>
      </c>
      <c r="K595" s="6">
        <f t="shared" ref="K595:K603" si="192">SUM(I595*0.2)</f>
        <v>114120</v>
      </c>
      <c r="L595" s="19">
        <v>186626.35</v>
      </c>
    </row>
    <row r="596" spans="2:19" ht="18.5" customHeight="1">
      <c r="B596" s="13">
        <v>592</v>
      </c>
      <c r="C596" s="13" t="s">
        <v>14</v>
      </c>
      <c r="D596" s="14" t="s">
        <v>78</v>
      </c>
      <c r="E596" s="6">
        <v>33671700</v>
      </c>
      <c r="F596" s="5">
        <v>28397100</v>
      </c>
      <c r="G596" s="5">
        <v>4673600</v>
      </c>
      <c r="H596" s="5">
        <f t="shared" si="189"/>
        <v>33070700</v>
      </c>
      <c r="I596" s="5">
        <f t="shared" si="190"/>
        <v>601000</v>
      </c>
      <c r="J596" s="7">
        <f t="shared" si="191"/>
        <v>0.98215118333793661</v>
      </c>
      <c r="K596" s="6">
        <f t="shared" si="192"/>
        <v>120200</v>
      </c>
      <c r="L596" s="19">
        <v>346197.97</v>
      </c>
    </row>
    <row r="597" spans="2:19" ht="18.5" customHeight="1">
      <c r="B597" s="13">
        <v>592</v>
      </c>
      <c r="C597" s="13" t="s">
        <v>15</v>
      </c>
      <c r="D597" s="14" t="s">
        <v>78</v>
      </c>
      <c r="E597" s="6">
        <v>42923300</v>
      </c>
      <c r="F597" s="5">
        <v>39212872</v>
      </c>
      <c r="G597" s="5">
        <v>2930532</v>
      </c>
      <c r="H597" s="5">
        <f t="shared" si="189"/>
        <v>42143404</v>
      </c>
      <c r="I597" s="5">
        <f t="shared" si="190"/>
        <v>779896</v>
      </c>
      <c r="J597" s="7">
        <f t="shared" si="191"/>
        <v>0.98183047435774973</v>
      </c>
      <c r="K597" s="6">
        <f t="shared" si="192"/>
        <v>155979.20000000001</v>
      </c>
      <c r="L597" s="19">
        <v>297056.01</v>
      </c>
    </row>
    <row r="598" spans="2:19" ht="18.5" customHeight="1">
      <c r="B598" s="13">
        <v>592</v>
      </c>
      <c r="C598" s="13" t="s">
        <v>16</v>
      </c>
      <c r="D598" s="14" t="s">
        <v>78</v>
      </c>
      <c r="E598" s="6">
        <v>36205900</v>
      </c>
      <c r="F598" s="5">
        <v>32562000</v>
      </c>
      <c r="G598" s="5">
        <v>3020000</v>
      </c>
      <c r="H598" s="5">
        <f t="shared" si="189"/>
        <v>35582000</v>
      </c>
      <c r="I598" s="5">
        <f t="shared" si="190"/>
        <v>623900</v>
      </c>
      <c r="J598" s="7">
        <f t="shared" si="191"/>
        <v>0.98276800190024283</v>
      </c>
      <c r="K598" s="6">
        <f t="shared" si="192"/>
        <v>124780</v>
      </c>
      <c r="L598" s="19">
        <v>90635.45</v>
      </c>
    </row>
    <row r="599" spans="2:19" ht="18.5" customHeight="1">
      <c r="B599" s="13">
        <v>592</v>
      </c>
      <c r="C599" s="13" t="s">
        <v>17</v>
      </c>
      <c r="D599" s="14" t="s">
        <v>78</v>
      </c>
      <c r="E599" s="6">
        <v>30805300</v>
      </c>
      <c r="F599" s="5">
        <v>26655900</v>
      </c>
      <c r="G599" s="5">
        <v>3413935</v>
      </c>
      <c r="H599" s="5">
        <f t="shared" si="189"/>
        <v>30069835</v>
      </c>
      <c r="I599" s="5">
        <f t="shared" si="190"/>
        <v>735465</v>
      </c>
      <c r="J599" s="7">
        <f t="shared" si="191"/>
        <v>0.9761253745297076</v>
      </c>
      <c r="K599" s="6">
        <f t="shared" si="192"/>
        <v>147093</v>
      </c>
      <c r="L599" s="19">
        <v>54947</v>
      </c>
    </row>
    <row r="600" spans="2:19" ht="18.5" customHeight="1">
      <c r="B600" s="13">
        <v>592</v>
      </c>
      <c r="C600" s="13" t="s">
        <v>18</v>
      </c>
      <c r="D600" s="14" t="s">
        <v>78</v>
      </c>
      <c r="E600" s="6">
        <v>42508200</v>
      </c>
      <c r="F600" s="5">
        <v>35530419</v>
      </c>
      <c r="G600" s="5">
        <v>6206457</v>
      </c>
      <c r="H600" s="5">
        <f t="shared" si="189"/>
        <v>41736876</v>
      </c>
      <c r="I600" s="5">
        <f t="shared" si="190"/>
        <v>771324</v>
      </c>
      <c r="J600" s="7">
        <f t="shared" si="191"/>
        <v>0.98185470097534122</v>
      </c>
      <c r="K600" s="6">
        <f t="shared" si="192"/>
        <v>154264.80000000002</v>
      </c>
      <c r="L600" s="19">
        <v>47273</v>
      </c>
    </row>
    <row r="601" spans="2:19" ht="18.5" customHeight="1">
      <c r="B601" s="13">
        <v>592</v>
      </c>
      <c r="C601" s="13" t="s">
        <v>19</v>
      </c>
      <c r="D601" s="14" t="s">
        <v>78</v>
      </c>
      <c r="E601" s="8">
        <v>34511400</v>
      </c>
      <c r="F601" s="8">
        <v>29626500</v>
      </c>
      <c r="G601" s="8">
        <v>2721100</v>
      </c>
      <c r="H601" s="5">
        <f t="shared" si="189"/>
        <v>32347600</v>
      </c>
      <c r="I601" s="5">
        <f t="shared" si="190"/>
        <v>2163800</v>
      </c>
      <c r="J601" s="7">
        <f t="shared" si="191"/>
        <v>0.93730187706091317</v>
      </c>
      <c r="K601" s="6">
        <f t="shared" si="192"/>
        <v>432760</v>
      </c>
      <c r="L601" s="4">
        <v>96294</v>
      </c>
      <c r="M601" s="4"/>
    </row>
    <row r="602" spans="2:19" ht="18.5" customHeight="1">
      <c r="B602" s="13">
        <v>592</v>
      </c>
      <c r="C602" s="13" t="s">
        <v>20</v>
      </c>
      <c r="D602" s="14" t="s">
        <v>78</v>
      </c>
      <c r="E602" s="8">
        <v>43875500</v>
      </c>
      <c r="F602" s="8">
        <v>41006700</v>
      </c>
      <c r="G602" s="8">
        <v>643700</v>
      </c>
      <c r="H602" s="5">
        <f t="shared" si="189"/>
        <v>41650400</v>
      </c>
      <c r="I602" s="5">
        <f t="shared" si="190"/>
        <v>2225100</v>
      </c>
      <c r="J602" s="7">
        <f t="shared" si="191"/>
        <v>0.94928604802224481</v>
      </c>
      <c r="K602" s="6">
        <f t="shared" si="192"/>
        <v>445020</v>
      </c>
      <c r="L602" s="19">
        <v>496629.91000000003</v>
      </c>
    </row>
    <row r="603" spans="2:19" ht="18.5" customHeight="1">
      <c r="B603" s="13">
        <v>592</v>
      </c>
      <c r="C603" s="13" t="s">
        <v>21</v>
      </c>
      <c r="D603" s="14" t="s">
        <v>78</v>
      </c>
      <c r="E603" s="5">
        <v>49028900</v>
      </c>
      <c r="F603" s="5">
        <v>45005610</v>
      </c>
      <c r="G603" s="5">
        <v>2992950</v>
      </c>
      <c r="H603" s="5">
        <f t="shared" si="189"/>
        <v>47998560</v>
      </c>
      <c r="I603" s="5">
        <f t="shared" si="190"/>
        <v>1030340</v>
      </c>
      <c r="J603" s="7">
        <f t="shared" si="191"/>
        <v>0.97898504759437799</v>
      </c>
      <c r="K603" s="6">
        <f t="shared" si="192"/>
        <v>206068</v>
      </c>
      <c r="L603" s="19">
        <v>847215.17</v>
      </c>
    </row>
    <row r="604" spans="2:19" s="24" customFormat="1" ht="18.5" customHeight="1">
      <c r="B604" s="27"/>
      <c r="C604" s="27"/>
      <c r="D604" s="28" t="s">
        <v>22</v>
      </c>
      <c r="E604" s="23">
        <f>SUM(E595:E603)/9</f>
        <v>39174622.222222224</v>
      </c>
      <c r="F604" s="23">
        <f>SUM(F595:F603)/9</f>
        <v>34779411.222222224</v>
      </c>
      <c r="G604" s="23">
        <f>SUM(G595:G603)/9</f>
        <v>3339497.111111111</v>
      </c>
      <c r="H604" s="23">
        <f>SUM(H595:H603)/9</f>
        <v>38118908.333333336</v>
      </c>
      <c r="I604" s="23">
        <f>SUM(I595:I603)/9</f>
        <v>1055713.888888889</v>
      </c>
      <c r="J604" s="29">
        <f>SUM(H604/E604)</f>
        <v>0.97305107671746682</v>
      </c>
      <c r="K604" s="23">
        <f>SUM(K595:K603)/9</f>
        <v>211142.77777777778</v>
      </c>
      <c r="L604" s="20">
        <f>SUM(L595:L603)/9</f>
        <v>273652.76222222223</v>
      </c>
      <c r="M604" s="20"/>
    </row>
    <row r="605" spans="2:19" s="24" customFormat="1" ht="18.5" customHeight="1">
      <c r="B605" s="27"/>
      <c r="C605" s="27"/>
      <c r="D605" s="28"/>
      <c r="E605" s="23"/>
      <c r="F605" s="23"/>
      <c r="G605" s="23"/>
      <c r="H605" s="23"/>
      <c r="I605" s="23"/>
      <c r="J605" s="29"/>
      <c r="K605" s="23"/>
      <c r="L605" s="20"/>
      <c r="M605" s="20"/>
    </row>
    <row r="606" spans="2:19" s="25" customFormat="1" ht="45.95" customHeight="1">
      <c r="B606" s="31" t="s">
        <v>1</v>
      </c>
      <c r="C606" s="31" t="s">
        <v>2</v>
      </c>
      <c r="D606" s="38" t="s">
        <v>3</v>
      </c>
      <c r="E606" s="37" t="s">
        <v>4</v>
      </c>
      <c r="F606" s="32" t="s">
        <v>5</v>
      </c>
      <c r="G606" s="32" t="s">
        <v>6</v>
      </c>
      <c r="H606" s="33" t="s">
        <v>7</v>
      </c>
      <c r="I606" s="33" t="s">
        <v>8</v>
      </c>
      <c r="J606" s="34" t="s">
        <v>9</v>
      </c>
      <c r="K606" s="33" t="s">
        <v>10</v>
      </c>
      <c r="L606" s="35" t="s">
        <v>11</v>
      </c>
      <c r="M606" s="36"/>
      <c r="N606" s="39"/>
      <c r="O606" s="40"/>
      <c r="P606" s="41"/>
      <c r="Q606" s="40"/>
      <c r="R606" s="42"/>
      <c r="S606" s="43"/>
    </row>
    <row r="607" spans="2:19" ht="18.5" customHeight="1">
      <c r="B607" s="13">
        <v>601</v>
      </c>
      <c r="C607" s="13" t="s">
        <v>12</v>
      </c>
      <c r="D607" s="14" t="s">
        <v>79</v>
      </c>
      <c r="E607" s="6">
        <v>15905900</v>
      </c>
      <c r="F607" s="5">
        <v>14800072</v>
      </c>
      <c r="G607" s="5">
        <v>1059404</v>
      </c>
      <c r="H607" s="5">
        <f t="shared" ref="H607:H615" si="193">SUM(F607+G607)</f>
        <v>15859476</v>
      </c>
      <c r="I607" s="5">
        <f t="shared" ref="I607:I615" si="194">SUM(E607-H607)</f>
        <v>46424</v>
      </c>
      <c r="J607" s="7">
        <f t="shared" ref="J607:J615" si="195">SUM(H607/E607)</f>
        <v>0.99708133459911097</v>
      </c>
      <c r="K607" s="6">
        <f t="shared" ref="K607:K615" si="196">SUM(I607*0.2)</f>
        <v>9284.8000000000011</v>
      </c>
      <c r="L607" s="19">
        <v>35599.260000000009</v>
      </c>
    </row>
    <row r="608" spans="2:19" ht="18.5" customHeight="1">
      <c r="B608" s="13">
        <v>601</v>
      </c>
      <c r="C608" s="13" t="s">
        <v>14</v>
      </c>
      <c r="D608" s="14" t="s">
        <v>79</v>
      </c>
      <c r="E608" s="6">
        <v>17586700</v>
      </c>
      <c r="F608" s="5">
        <v>15846872</v>
      </c>
      <c r="G608" s="5">
        <v>1680778</v>
      </c>
      <c r="H608" s="5">
        <f t="shared" si="193"/>
        <v>17527650</v>
      </c>
      <c r="I608" s="5">
        <f t="shared" si="194"/>
        <v>59050</v>
      </c>
      <c r="J608" s="7">
        <f t="shared" si="195"/>
        <v>0.99664234904785998</v>
      </c>
      <c r="K608" s="6">
        <f t="shared" si="196"/>
        <v>11810</v>
      </c>
      <c r="L608" s="19">
        <v>87292.26</v>
      </c>
    </row>
    <row r="609" spans="2:19" ht="18.5" customHeight="1">
      <c r="B609" s="13">
        <v>601</v>
      </c>
      <c r="C609" s="13" t="s">
        <v>15</v>
      </c>
      <c r="D609" s="14" t="s">
        <v>79</v>
      </c>
      <c r="E609" s="6">
        <v>17581200</v>
      </c>
      <c r="F609" s="5">
        <v>15846100</v>
      </c>
      <c r="G609" s="5">
        <v>1675278</v>
      </c>
      <c r="H609" s="5">
        <f t="shared" si="193"/>
        <v>17521378</v>
      </c>
      <c r="I609" s="5">
        <f t="shared" si="194"/>
        <v>59822</v>
      </c>
      <c r="J609" s="7">
        <f t="shared" si="195"/>
        <v>0.99659738811912724</v>
      </c>
      <c r="K609" s="6">
        <f t="shared" si="196"/>
        <v>11964.400000000001</v>
      </c>
      <c r="L609" s="19">
        <v>72069.349999999991</v>
      </c>
    </row>
    <row r="610" spans="2:19" ht="18.5" customHeight="1">
      <c r="B610" s="13">
        <v>601</v>
      </c>
      <c r="C610" s="13" t="s">
        <v>16</v>
      </c>
      <c r="D610" s="14" t="s">
        <v>79</v>
      </c>
      <c r="E610" s="6">
        <v>13226527</v>
      </c>
      <c r="F610" s="5">
        <v>7782555</v>
      </c>
      <c r="G610" s="5">
        <v>5443352</v>
      </c>
      <c r="H610" s="5">
        <f t="shared" si="193"/>
        <v>13225907</v>
      </c>
      <c r="I610" s="5">
        <f t="shared" si="194"/>
        <v>620</v>
      </c>
      <c r="J610" s="7">
        <f t="shared" si="195"/>
        <v>0.99995312450501939</v>
      </c>
      <c r="K610" s="6">
        <f t="shared" si="196"/>
        <v>124</v>
      </c>
      <c r="L610" s="19">
        <v>8350.86</v>
      </c>
    </row>
    <row r="611" spans="2:19" ht="18.5" customHeight="1">
      <c r="B611" s="13">
        <v>601</v>
      </c>
      <c r="C611" s="13" t="s">
        <v>17</v>
      </c>
      <c r="D611" s="14" t="s">
        <v>79</v>
      </c>
      <c r="E611" s="6">
        <v>6255872</v>
      </c>
      <c r="F611" s="5">
        <v>3032117</v>
      </c>
      <c r="G611" s="5">
        <v>3192439</v>
      </c>
      <c r="H611" s="5">
        <f t="shared" si="193"/>
        <v>6224556</v>
      </c>
      <c r="I611" s="5">
        <f t="shared" si="194"/>
        <v>31316</v>
      </c>
      <c r="J611" s="7">
        <f t="shared" si="195"/>
        <v>0.9949941431026722</v>
      </c>
      <c r="K611" s="6">
        <f t="shared" si="196"/>
        <v>6263.2000000000007</v>
      </c>
      <c r="L611" s="19">
        <v>146753</v>
      </c>
    </row>
    <row r="612" spans="2:19" ht="18.5" customHeight="1">
      <c r="B612" s="13">
        <v>601</v>
      </c>
      <c r="C612" s="13" t="s">
        <v>18</v>
      </c>
      <c r="D612" s="14" t="s">
        <v>79</v>
      </c>
      <c r="E612" s="6">
        <v>9178971</v>
      </c>
      <c r="F612" s="5">
        <v>7483007</v>
      </c>
      <c r="G612" s="5">
        <v>1569718</v>
      </c>
      <c r="H612" s="5">
        <f t="shared" si="193"/>
        <v>9052725</v>
      </c>
      <c r="I612" s="5">
        <f t="shared" si="194"/>
        <v>126246</v>
      </c>
      <c r="J612" s="7">
        <f t="shared" si="195"/>
        <v>0.98624617073090215</v>
      </c>
      <c r="K612" s="6">
        <f t="shared" si="196"/>
        <v>25249.200000000001</v>
      </c>
      <c r="L612" s="19">
        <v>305031</v>
      </c>
    </row>
    <row r="613" spans="2:19" ht="18.5" customHeight="1">
      <c r="B613" s="13">
        <v>601</v>
      </c>
      <c r="C613" s="13" t="s">
        <v>19</v>
      </c>
      <c r="D613" s="14" t="s">
        <v>79</v>
      </c>
      <c r="E613" s="11">
        <v>10974606</v>
      </c>
      <c r="F613" s="8">
        <v>10507023</v>
      </c>
      <c r="G613" s="8">
        <v>106993</v>
      </c>
      <c r="H613" s="5">
        <f t="shared" si="193"/>
        <v>10614016</v>
      </c>
      <c r="I613" s="5">
        <f t="shared" si="194"/>
        <v>360590</v>
      </c>
      <c r="J613" s="7">
        <f t="shared" si="195"/>
        <v>0.96714323958418191</v>
      </c>
      <c r="K613" s="6">
        <f t="shared" si="196"/>
        <v>72118</v>
      </c>
      <c r="L613" s="4">
        <v>270524</v>
      </c>
      <c r="M613" s="4"/>
    </row>
    <row r="614" spans="2:19" ht="18.5" customHeight="1">
      <c r="B614" s="13">
        <v>601</v>
      </c>
      <c r="C614" s="13" t="s">
        <v>20</v>
      </c>
      <c r="D614" s="14" t="s">
        <v>79</v>
      </c>
      <c r="E614" s="11">
        <v>12149546</v>
      </c>
      <c r="F614" s="8">
        <v>11703265</v>
      </c>
      <c r="G614" s="8">
        <v>85</v>
      </c>
      <c r="H614" s="5">
        <f t="shared" si="193"/>
        <v>11703350</v>
      </c>
      <c r="I614" s="5">
        <f t="shared" si="194"/>
        <v>446196</v>
      </c>
      <c r="J614" s="7">
        <f t="shared" si="195"/>
        <v>0.96327467709493009</v>
      </c>
      <c r="K614" s="6">
        <f t="shared" si="196"/>
        <v>89239.200000000012</v>
      </c>
      <c r="L614" s="19">
        <v>226163.28</v>
      </c>
    </row>
    <row r="615" spans="2:19" ht="18.5" customHeight="1">
      <c r="B615" s="13">
        <v>601</v>
      </c>
      <c r="C615" s="13" t="s">
        <v>21</v>
      </c>
      <c r="D615" s="14" t="s">
        <v>79</v>
      </c>
      <c r="E615" s="5">
        <v>11945290</v>
      </c>
      <c r="F615" s="5">
        <v>11515521</v>
      </c>
      <c r="G615" s="5">
        <v>15705</v>
      </c>
      <c r="H615" s="5">
        <f t="shared" si="193"/>
        <v>11531226</v>
      </c>
      <c r="I615" s="5">
        <f t="shared" si="194"/>
        <v>414064</v>
      </c>
      <c r="J615" s="7">
        <f t="shared" si="195"/>
        <v>0.96533663058829045</v>
      </c>
      <c r="K615" s="6">
        <f t="shared" si="196"/>
        <v>82812.800000000003</v>
      </c>
      <c r="L615" s="19">
        <v>239894.72</v>
      </c>
    </row>
    <row r="616" spans="2:19" s="24" customFormat="1" ht="18.5" customHeight="1">
      <c r="B616" s="27"/>
      <c r="C616" s="27"/>
      <c r="D616" s="28" t="s">
        <v>22</v>
      </c>
      <c r="E616" s="23">
        <f>SUM(E607:E615)/9</f>
        <v>12756068</v>
      </c>
      <c r="F616" s="23">
        <f>SUM(F607:F615)/9</f>
        <v>10946281.333333334</v>
      </c>
      <c r="G616" s="23">
        <f>SUM(G607:G615)/9</f>
        <v>1638194.6666666667</v>
      </c>
      <c r="H616" s="23">
        <f>SUM(H607:H615)/9</f>
        <v>12584476</v>
      </c>
      <c r="I616" s="23">
        <f>SUM(I607:I615)/9</f>
        <v>171592</v>
      </c>
      <c r="J616" s="29">
        <f>SUM(H616/E616)</f>
        <v>0.98654820592050785</v>
      </c>
      <c r="K616" s="23">
        <f>SUM(K607:K615)/9</f>
        <v>34318.400000000001</v>
      </c>
      <c r="L616" s="20">
        <f>SUM(L607:L615)/9</f>
        <v>154630.85888888888</v>
      </c>
      <c r="M616" s="20"/>
    </row>
    <row r="617" spans="2:19" s="24" customFormat="1" ht="18.5" customHeight="1">
      <c r="B617" s="27"/>
      <c r="C617" s="27"/>
      <c r="D617" s="28"/>
      <c r="E617" s="23"/>
      <c r="F617" s="23"/>
      <c r="G617" s="23"/>
      <c r="H617" s="23"/>
      <c r="I617" s="23"/>
      <c r="J617" s="29"/>
      <c r="K617" s="23"/>
      <c r="L617" s="20"/>
      <c r="M617" s="20"/>
    </row>
    <row r="618" spans="2:19" s="25" customFormat="1" ht="45.95" customHeight="1">
      <c r="B618" s="31" t="s">
        <v>1</v>
      </c>
      <c r="C618" s="31" t="s">
        <v>2</v>
      </c>
      <c r="D618" s="38" t="s">
        <v>80</v>
      </c>
      <c r="E618" s="37" t="s">
        <v>4</v>
      </c>
      <c r="F618" s="32" t="s">
        <v>5</v>
      </c>
      <c r="G618" s="32" t="s">
        <v>6</v>
      </c>
      <c r="H618" s="33" t="s">
        <v>7</v>
      </c>
      <c r="I618" s="33" t="s">
        <v>8</v>
      </c>
      <c r="J618" s="34" t="s">
        <v>9</v>
      </c>
      <c r="K618" s="33" t="s">
        <v>10</v>
      </c>
      <c r="L618" s="35" t="s">
        <v>11</v>
      </c>
      <c r="M618" s="36"/>
      <c r="N618" s="39"/>
      <c r="O618" s="40"/>
      <c r="P618" s="41"/>
      <c r="Q618" s="40"/>
      <c r="R618" s="42"/>
      <c r="S618" s="43"/>
    </row>
    <row r="619" spans="2:19" ht="18.5" customHeight="1">
      <c r="B619" s="13">
        <v>608</v>
      </c>
      <c r="C619" s="13" t="s">
        <v>12</v>
      </c>
      <c r="D619" s="14" t="s">
        <v>81</v>
      </c>
      <c r="E619" s="6">
        <v>49345200</v>
      </c>
      <c r="F619" s="5">
        <v>49345200</v>
      </c>
      <c r="G619" s="5">
        <v>0</v>
      </c>
      <c r="H619" s="5">
        <f t="shared" ref="H619:H627" si="197">SUM(F619+G619)</f>
        <v>49345200</v>
      </c>
      <c r="I619" s="5">
        <f t="shared" ref="I619:I627" si="198">SUM(E619-H619)</f>
        <v>0</v>
      </c>
      <c r="J619" s="7">
        <f t="shared" ref="J619:J627" si="199">SUM(H619/E619)</f>
        <v>1</v>
      </c>
      <c r="K619" s="6">
        <f t="shared" ref="K619:K627" si="200">SUM(I619*0.2)</f>
        <v>0</v>
      </c>
      <c r="L619" s="19">
        <v>465179.70000000007</v>
      </c>
    </row>
    <row r="620" spans="2:19" ht="18.5" customHeight="1">
      <c r="B620" s="13">
        <v>608</v>
      </c>
      <c r="C620" s="13" t="s">
        <v>14</v>
      </c>
      <c r="D620" s="14" t="s">
        <v>81</v>
      </c>
      <c r="E620" s="6">
        <v>88061276</v>
      </c>
      <c r="F620" s="5">
        <v>75494430</v>
      </c>
      <c r="G620" s="5">
        <v>0</v>
      </c>
      <c r="H620" s="5">
        <f t="shared" si="197"/>
        <v>75494430</v>
      </c>
      <c r="I620" s="5">
        <f t="shared" si="198"/>
        <v>12566846</v>
      </c>
      <c r="J620" s="7">
        <f t="shared" si="199"/>
        <v>0.85729430039146837</v>
      </c>
      <c r="K620" s="6">
        <f t="shared" si="200"/>
        <v>2513369.2000000002</v>
      </c>
      <c r="L620" s="19">
        <v>401064.72000000003</v>
      </c>
    </row>
    <row r="621" spans="2:19" ht="18.5" customHeight="1">
      <c r="B621" s="13">
        <v>608</v>
      </c>
      <c r="C621" s="13" t="s">
        <v>15</v>
      </c>
      <c r="D621" s="14" t="s">
        <v>81</v>
      </c>
      <c r="E621" s="6">
        <v>609346461</v>
      </c>
      <c r="F621" s="5">
        <v>571914854</v>
      </c>
      <c r="G621" s="5">
        <v>0</v>
      </c>
      <c r="H621" s="5">
        <f t="shared" si="197"/>
        <v>571914854</v>
      </c>
      <c r="I621" s="5">
        <f t="shared" si="198"/>
        <v>37431607</v>
      </c>
      <c r="J621" s="7">
        <f t="shared" si="199"/>
        <v>0.93857089620481116</v>
      </c>
      <c r="K621" s="6">
        <f t="shared" si="200"/>
        <v>7486321.4000000004</v>
      </c>
      <c r="L621" s="19">
        <v>99666.17</v>
      </c>
    </row>
    <row r="622" spans="2:19" ht="18.5" customHeight="1">
      <c r="B622" s="13">
        <v>608</v>
      </c>
      <c r="C622" s="13" t="s">
        <v>16</v>
      </c>
      <c r="D622" s="14" t="s">
        <v>81</v>
      </c>
      <c r="E622" s="6">
        <v>85343686</v>
      </c>
      <c r="F622" s="5">
        <v>72797972</v>
      </c>
      <c r="G622" s="5">
        <v>0</v>
      </c>
      <c r="H622" s="5">
        <f t="shared" si="197"/>
        <v>72797972</v>
      </c>
      <c r="I622" s="5">
        <f t="shared" si="198"/>
        <v>12545714</v>
      </c>
      <c r="J622" s="7">
        <f t="shared" si="199"/>
        <v>0.8529977484215997</v>
      </c>
      <c r="K622" s="6">
        <f t="shared" si="200"/>
        <v>2509142.8000000003</v>
      </c>
      <c r="L622" s="19">
        <v>34820.050000000003</v>
      </c>
    </row>
    <row r="623" spans="2:19" ht="18.5" customHeight="1">
      <c r="B623" s="13">
        <v>608</v>
      </c>
      <c r="C623" s="13" t="s">
        <v>17</v>
      </c>
      <c r="D623" s="14" t="s">
        <v>81</v>
      </c>
      <c r="E623" s="12" t="s">
        <v>82</v>
      </c>
    </row>
    <row r="624" spans="2:19" ht="18.5" customHeight="1">
      <c r="B624" s="13">
        <v>608</v>
      </c>
      <c r="C624" s="13" t="s">
        <v>18</v>
      </c>
      <c r="D624" s="14" t="s">
        <v>81</v>
      </c>
      <c r="E624" s="8">
        <v>15804022</v>
      </c>
      <c r="F624" s="8">
        <v>1017089</v>
      </c>
      <c r="G624" s="8">
        <v>2528410</v>
      </c>
      <c r="H624" s="5">
        <f t="shared" si="197"/>
        <v>3545499</v>
      </c>
      <c r="I624" s="5">
        <f t="shared" si="198"/>
        <v>12258523</v>
      </c>
      <c r="J624" s="7">
        <f t="shared" si="199"/>
        <v>0.22434156317929702</v>
      </c>
      <c r="K624" s="6">
        <f t="shared" si="200"/>
        <v>2451704.6</v>
      </c>
      <c r="L624" s="19">
        <v>135265</v>
      </c>
    </row>
    <row r="625" spans="2:19" ht="18.5" customHeight="1">
      <c r="B625" s="13">
        <v>608</v>
      </c>
      <c r="C625" s="13" t="s">
        <v>19</v>
      </c>
      <c r="D625" s="14" t="s">
        <v>81</v>
      </c>
      <c r="E625" s="11">
        <v>83842965</v>
      </c>
      <c r="F625" s="8">
        <v>54720181</v>
      </c>
      <c r="G625" s="8">
        <v>13277619</v>
      </c>
      <c r="H625" s="5">
        <f t="shared" si="197"/>
        <v>67997800</v>
      </c>
      <c r="I625" s="5">
        <f t="shared" si="198"/>
        <v>15845165</v>
      </c>
      <c r="J625" s="7">
        <f t="shared" si="199"/>
        <v>0.81101378034519656</v>
      </c>
      <c r="K625" s="6">
        <f t="shared" si="200"/>
        <v>3169033</v>
      </c>
      <c r="L625" s="4">
        <v>154567</v>
      </c>
      <c r="M625" s="4"/>
    </row>
    <row r="626" spans="2:19" s="17" customFormat="1" ht="18.5" customHeight="1">
      <c r="B626" s="16">
        <v>608</v>
      </c>
      <c r="C626" s="16" t="s">
        <v>20</v>
      </c>
      <c r="D626" s="17" t="s">
        <v>81</v>
      </c>
      <c r="E626" s="8">
        <v>82355099.879999965</v>
      </c>
      <c r="F626" s="8">
        <v>66151367.220000006</v>
      </c>
      <c r="G626" s="8">
        <v>3220407.45</v>
      </c>
      <c r="H626" s="5">
        <f t="shared" si="197"/>
        <v>69371774.670000002</v>
      </c>
      <c r="I626" s="5">
        <f t="shared" si="198"/>
        <v>12983325.209999964</v>
      </c>
      <c r="J626" s="7">
        <f t="shared" si="199"/>
        <v>0.84234946920205267</v>
      </c>
      <c r="K626" s="6">
        <f t="shared" si="200"/>
        <v>2596665.0419999929</v>
      </c>
      <c r="L626" s="19">
        <v>949082.76</v>
      </c>
      <c r="M626" s="19"/>
    </row>
    <row r="627" spans="2:19" s="17" customFormat="1" ht="18.5" customHeight="1">
      <c r="B627" s="16">
        <v>608</v>
      </c>
      <c r="C627" s="13" t="s">
        <v>21</v>
      </c>
      <c r="D627" s="17" t="s">
        <v>81</v>
      </c>
      <c r="E627" s="5">
        <v>82208100.049999967</v>
      </c>
      <c r="F627" s="5">
        <v>65620866.890000015</v>
      </c>
      <c r="G627" s="5">
        <v>2715757.57</v>
      </c>
      <c r="H627" s="5">
        <f t="shared" si="197"/>
        <v>68336624.460000008</v>
      </c>
      <c r="I627" s="5">
        <f t="shared" si="198"/>
        <v>13871475.589999959</v>
      </c>
      <c r="J627" s="7">
        <f t="shared" si="199"/>
        <v>0.83126388298034914</v>
      </c>
      <c r="K627" s="6">
        <f t="shared" si="200"/>
        <v>2774295.1179999919</v>
      </c>
      <c r="L627" s="19">
        <v>1853687.45</v>
      </c>
      <c r="M627" s="19"/>
    </row>
    <row r="628" spans="2:19" s="24" customFormat="1" ht="18.5" customHeight="1">
      <c r="B628" s="27"/>
      <c r="C628" s="27"/>
      <c r="D628" s="28" t="s">
        <v>83</v>
      </c>
      <c r="E628" s="23">
        <f>SUM(E619:E627)/8</f>
        <v>137038351.24125001</v>
      </c>
      <c r="F628" s="23">
        <f>SUM(F619:F627)/8</f>
        <v>119632745.01375</v>
      </c>
      <c r="G628" s="23">
        <f>SUM(G619:G627)/8</f>
        <v>2717774.2524999999</v>
      </c>
      <c r="H628" s="23">
        <f>SUM(H619:H627)/8</f>
        <v>122350519.26625</v>
      </c>
      <c r="I628" s="23">
        <f>SUM(I619:I627)/8</f>
        <v>14687831.97499999</v>
      </c>
      <c r="J628" s="29">
        <f>SUM(H628/E628)</f>
        <v>0.89281955130106083</v>
      </c>
      <c r="K628" s="23">
        <f>SUM(K619:K627)/8</f>
        <v>2937566.3949999982</v>
      </c>
      <c r="L628" s="20">
        <f>SUM(L619:L627)/8</f>
        <v>511666.60625000007</v>
      </c>
      <c r="M628" s="20"/>
    </row>
    <row r="629" spans="2:19" s="24" customFormat="1" ht="18.5" customHeight="1">
      <c r="B629" s="27"/>
      <c r="C629" s="27"/>
      <c r="D629" s="28"/>
      <c r="E629" s="23"/>
      <c r="F629" s="23"/>
      <c r="G629" s="23"/>
      <c r="H629" s="23"/>
      <c r="I629" s="23"/>
      <c r="J629" s="29"/>
      <c r="K629" s="23"/>
      <c r="L629" s="20"/>
      <c r="M629" s="20"/>
    </row>
    <row r="630" spans="2:19" s="25" customFormat="1" ht="45.95" customHeight="1">
      <c r="B630" s="31" t="s">
        <v>1</v>
      </c>
      <c r="C630" s="31" t="s">
        <v>2</v>
      </c>
      <c r="D630" s="38" t="s">
        <v>80</v>
      </c>
      <c r="E630" s="37" t="s">
        <v>4</v>
      </c>
      <c r="F630" s="32" t="s">
        <v>5</v>
      </c>
      <c r="G630" s="32" t="s">
        <v>6</v>
      </c>
      <c r="H630" s="33" t="s">
        <v>7</v>
      </c>
      <c r="I630" s="33" t="s">
        <v>8</v>
      </c>
      <c r="J630" s="34" t="s">
        <v>9</v>
      </c>
      <c r="K630" s="33" t="s">
        <v>10</v>
      </c>
      <c r="L630" s="35" t="s">
        <v>11</v>
      </c>
      <c r="M630" s="36"/>
      <c r="N630" s="39"/>
      <c r="O630" s="40"/>
      <c r="P630" s="41"/>
      <c r="Q630" s="40"/>
      <c r="R630" s="42"/>
      <c r="S630" s="43"/>
    </row>
    <row r="631" spans="2:19" ht="18.5" customHeight="1">
      <c r="B631" s="13">
        <v>612</v>
      </c>
      <c r="C631" s="13" t="s">
        <v>12</v>
      </c>
      <c r="D631" s="14" t="s">
        <v>84</v>
      </c>
      <c r="E631" s="6">
        <v>44041100</v>
      </c>
      <c r="F631" s="5">
        <v>43541100</v>
      </c>
      <c r="G631" s="5">
        <v>500000</v>
      </c>
      <c r="H631" s="5">
        <f t="shared" ref="H631:H639" si="201">SUM(F631+G631)</f>
        <v>44041100</v>
      </c>
      <c r="I631" s="5">
        <f t="shared" ref="I631:I639" si="202">SUM(E631-H631)</f>
        <v>0</v>
      </c>
      <c r="J631" s="7">
        <f t="shared" ref="J631:J639" si="203">SUM(H631/E631)</f>
        <v>1</v>
      </c>
      <c r="K631" s="6">
        <f t="shared" ref="K631:K639" si="204">SUM(I631*0.2)</f>
        <v>0</v>
      </c>
      <c r="L631" s="19">
        <v>291938.69</v>
      </c>
    </row>
    <row r="632" spans="2:19" ht="18.5" customHeight="1">
      <c r="B632" s="13">
        <v>612</v>
      </c>
      <c r="C632" s="13" t="s">
        <v>14</v>
      </c>
      <c r="D632" s="14" t="s">
        <v>84</v>
      </c>
      <c r="E632" s="6">
        <v>44078100</v>
      </c>
      <c r="F632" s="5">
        <v>43578100</v>
      </c>
      <c r="G632" s="5">
        <v>500000</v>
      </c>
      <c r="H632" s="5">
        <f t="shared" si="201"/>
        <v>44078100</v>
      </c>
      <c r="I632" s="5">
        <f t="shared" si="202"/>
        <v>0</v>
      </c>
      <c r="J632" s="7">
        <f t="shared" si="203"/>
        <v>1</v>
      </c>
      <c r="K632" s="6">
        <f t="shared" si="204"/>
        <v>0</v>
      </c>
      <c r="L632" s="19">
        <v>181158.78000000003</v>
      </c>
    </row>
    <row r="633" spans="2:19" ht="18.5" customHeight="1">
      <c r="B633" s="13">
        <v>612</v>
      </c>
      <c r="C633" s="13" t="s">
        <v>15</v>
      </c>
      <c r="D633" s="14" t="s">
        <v>84</v>
      </c>
      <c r="E633" s="6">
        <v>43964800</v>
      </c>
      <c r="F633" s="5">
        <v>43464800</v>
      </c>
      <c r="G633" s="5">
        <v>500000</v>
      </c>
      <c r="H633" s="5">
        <f t="shared" si="201"/>
        <v>43964800</v>
      </c>
      <c r="I633" s="5">
        <f t="shared" si="202"/>
        <v>0</v>
      </c>
      <c r="J633" s="7">
        <f t="shared" si="203"/>
        <v>1</v>
      </c>
      <c r="K633" s="6">
        <f t="shared" si="204"/>
        <v>0</v>
      </c>
      <c r="L633" s="19">
        <v>384847.60000000003</v>
      </c>
    </row>
    <row r="634" spans="2:19" ht="18.5" customHeight="1">
      <c r="B634" s="13">
        <v>612</v>
      </c>
      <c r="C634" s="13" t="s">
        <v>16</v>
      </c>
      <c r="D634" s="14" t="s">
        <v>84</v>
      </c>
      <c r="E634" s="6">
        <v>163926400</v>
      </c>
      <c r="F634" s="5">
        <v>138892800</v>
      </c>
      <c r="G634" s="5">
        <v>1348000</v>
      </c>
      <c r="H634" s="5">
        <f t="shared" si="201"/>
        <v>140240800</v>
      </c>
      <c r="I634" s="5">
        <f t="shared" si="202"/>
        <v>23685600</v>
      </c>
      <c r="J634" s="7">
        <f t="shared" si="203"/>
        <v>0.85551076580709395</v>
      </c>
      <c r="K634" s="6">
        <f t="shared" si="204"/>
        <v>4737120</v>
      </c>
      <c r="L634" s="19">
        <v>409798.52</v>
      </c>
    </row>
    <row r="635" spans="2:19" ht="18.5" customHeight="1">
      <c r="B635" s="13">
        <v>612</v>
      </c>
      <c r="C635" s="13" t="s">
        <v>17</v>
      </c>
      <c r="D635" s="14" t="s">
        <v>84</v>
      </c>
      <c r="E635" s="11">
        <v>146418500</v>
      </c>
      <c r="F635" s="8">
        <v>120709500</v>
      </c>
      <c r="G635" s="8">
        <v>7356000</v>
      </c>
      <c r="H635" s="5">
        <f t="shared" si="201"/>
        <v>128065500</v>
      </c>
      <c r="I635" s="5">
        <f t="shared" si="202"/>
        <v>18353000</v>
      </c>
      <c r="J635" s="7">
        <f t="shared" si="203"/>
        <v>0.87465381765282391</v>
      </c>
      <c r="K635" s="6">
        <f t="shared" si="204"/>
        <v>3670600</v>
      </c>
      <c r="L635" s="19">
        <v>391861</v>
      </c>
    </row>
    <row r="636" spans="2:19" ht="18.5" customHeight="1">
      <c r="B636" s="13">
        <v>612</v>
      </c>
      <c r="C636" s="13" t="s">
        <v>18</v>
      </c>
      <c r="D636" s="14" t="s">
        <v>84</v>
      </c>
      <c r="E636" s="6">
        <v>142574400</v>
      </c>
      <c r="F636" s="5">
        <v>122020900</v>
      </c>
      <c r="G636" s="5">
        <v>5942400</v>
      </c>
      <c r="H636" s="5">
        <f t="shared" si="201"/>
        <v>127963300</v>
      </c>
      <c r="I636" s="5">
        <f t="shared" si="202"/>
        <v>14611100</v>
      </c>
      <c r="J636" s="7">
        <f t="shared" si="203"/>
        <v>0.89751947053608505</v>
      </c>
      <c r="K636" s="6">
        <f t="shared" si="204"/>
        <v>2922220</v>
      </c>
      <c r="L636" s="19">
        <v>496927</v>
      </c>
    </row>
    <row r="637" spans="2:19" ht="18.5" customHeight="1">
      <c r="B637" s="13">
        <v>612</v>
      </c>
      <c r="C637" s="13" t="s">
        <v>19</v>
      </c>
      <c r="D637" s="14" t="s">
        <v>84</v>
      </c>
      <c r="E637" s="11">
        <v>133275800</v>
      </c>
      <c r="F637" s="8">
        <v>111770300</v>
      </c>
      <c r="G637" s="8">
        <v>6402900</v>
      </c>
      <c r="H637" s="5">
        <f t="shared" si="201"/>
        <v>118173200</v>
      </c>
      <c r="I637" s="5">
        <f t="shared" si="202"/>
        <v>15102600</v>
      </c>
      <c r="J637" s="7">
        <f t="shared" si="203"/>
        <v>0.88668160311174271</v>
      </c>
      <c r="K637" s="6">
        <f t="shared" si="204"/>
        <v>3020520</v>
      </c>
      <c r="L637" s="4">
        <v>548685</v>
      </c>
      <c r="M637" s="4"/>
    </row>
    <row r="638" spans="2:19" ht="18.5" customHeight="1">
      <c r="B638" s="13">
        <v>612</v>
      </c>
      <c r="C638" s="13" t="s">
        <v>20</v>
      </c>
      <c r="D638" s="14" t="s">
        <v>84</v>
      </c>
      <c r="E638" s="11">
        <v>137681200</v>
      </c>
      <c r="F638" s="8">
        <v>118398367</v>
      </c>
      <c r="G638" s="8">
        <v>9279691</v>
      </c>
      <c r="H638" s="5">
        <f t="shared" si="201"/>
        <v>127678058</v>
      </c>
      <c r="I638" s="5">
        <f t="shared" si="202"/>
        <v>10003142</v>
      </c>
      <c r="J638" s="7">
        <f t="shared" si="203"/>
        <v>0.92734562162444834</v>
      </c>
      <c r="K638" s="6">
        <f t="shared" si="204"/>
        <v>2000628.4000000001</v>
      </c>
      <c r="L638" s="19">
        <v>1048015.9700000003</v>
      </c>
    </row>
    <row r="639" spans="2:19" ht="18.5" customHeight="1">
      <c r="B639" s="13">
        <v>612</v>
      </c>
      <c r="C639" s="13" t="s">
        <v>21</v>
      </c>
      <c r="D639" s="14" t="s">
        <v>84</v>
      </c>
      <c r="E639" s="5">
        <v>142878875.42000002</v>
      </c>
      <c r="F639" s="5">
        <v>119798648.38000001</v>
      </c>
      <c r="G639" s="5">
        <v>9231883.4600000009</v>
      </c>
      <c r="H639" s="5">
        <f t="shared" si="201"/>
        <v>129030531.84</v>
      </c>
      <c r="I639" s="5">
        <f t="shared" si="202"/>
        <v>13848343.580000013</v>
      </c>
      <c r="J639" s="7">
        <f t="shared" si="203"/>
        <v>0.90307633973677304</v>
      </c>
      <c r="K639" s="6">
        <f t="shared" si="204"/>
        <v>2769668.7160000028</v>
      </c>
      <c r="L639" s="19">
        <v>1737982.92</v>
      </c>
    </row>
    <row r="640" spans="2:19" s="24" customFormat="1" ht="18.5" customHeight="1">
      <c r="B640" s="27"/>
      <c r="C640" s="27"/>
      <c r="D640" s="28" t="s">
        <v>22</v>
      </c>
      <c r="E640" s="23">
        <f>SUM(E631:E639)/9</f>
        <v>110982130.60222223</v>
      </c>
      <c r="F640" s="23">
        <f>SUM(F631:F639)/9</f>
        <v>95797168.37555556</v>
      </c>
      <c r="G640" s="23">
        <f>SUM(G631:G639)/9</f>
        <v>4562319.3844444444</v>
      </c>
      <c r="H640" s="23">
        <f>SUM(H631:H639)/9</f>
        <v>100359487.76000001</v>
      </c>
      <c r="I640" s="23">
        <f>SUM(I631:I639)/9</f>
        <v>10622642.842222223</v>
      </c>
      <c r="J640" s="29">
        <f>SUM(H640/E640)</f>
        <v>0.90428510621862646</v>
      </c>
      <c r="K640" s="23">
        <f>SUM(K631:K639)/9</f>
        <v>2124528.5684444448</v>
      </c>
      <c r="L640" s="20">
        <f>SUM(L631:L639)/9</f>
        <v>610135.05333333334</v>
      </c>
      <c r="M640" s="20"/>
    </row>
    <row r="641" spans="2:19" s="24" customFormat="1" ht="18.5" customHeight="1">
      <c r="B641" s="27"/>
      <c r="C641" s="27"/>
      <c r="D641" s="28"/>
      <c r="E641" s="23"/>
      <c r="F641" s="23"/>
      <c r="G641" s="23"/>
      <c r="H641" s="23"/>
      <c r="I641" s="23"/>
      <c r="J641" s="29"/>
      <c r="K641" s="23"/>
      <c r="L641" s="20"/>
      <c r="M641" s="20"/>
    </row>
    <row r="642" spans="2:19" s="25" customFormat="1" ht="45.95" customHeight="1">
      <c r="B642" s="31" t="s">
        <v>1</v>
      </c>
      <c r="C642" s="31" t="s">
        <v>2</v>
      </c>
      <c r="D642" s="38" t="s">
        <v>80</v>
      </c>
      <c r="E642" s="37" t="s">
        <v>4</v>
      </c>
      <c r="F642" s="32" t="s">
        <v>5</v>
      </c>
      <c r="G642" s="32" t="s">
        <v>6</v>
      </c>
      <c r="H642" s="33" t="s">
        <v>7</v>
      </c>
      <c r="I642" s="33" t="s">
        <v>8</v>
      </c>
      <c r="J642" s="34" t="s">
        <v>9</v>
      </c>
      <c r="K642" s="33" t="s">
        <v>10</v>
      </c>
      <c r="L642" s="35" t="s">
        <v>11</v>
      </c>
      <c r="M642" s="36"/>
      <c r="N642" s="39"/>
      <c r="O642" s="40"/>
      <c r="P642" s="41"/>
      <c r="Q642" s="40"/>
      <c r="R642" s="42"/>
      <c r="S642" s="43"/>
    </row>
    <row r="643" spans="2:19" ht="18.5" customHeight="1">
      <c r="B643" s="13">
        <v>616</v>
      </c>
      <c r="C643" s="13" t="s">
        <v>12</v>
      </c>
      <c r="D643" s="14" t="s">
        <v>85</v>
      </c>
      <c r="E643" s="6">
        <v>24650500</v>
      </c>
      <c r="F643" s="5">
        <v>22008633</v>
      </c>
      <c r="G643" s="5">
        <v>1641271</v>
      </c>
      <c r="H643" s="5">
        <f t="shared" ref="H643:H651" si="205">SUM(F643+G643)</f>
        <v>23649904</v>
      </c>
      <c r="I643" s="5">
        <f t="shared" ref="I643:I651" si="206">SUM(E643-H643)</f>
        <v>1000596</v>
      </c>
      <c r="J643" s="7">
        <f t="shared" ref="J643:J651" si="207">SUM(H643/E643)</f>
        <v>0.95940869353562808</v>
      </c>
      <c r="K643" s="6">
        <f t="shared" ref="K643:K651" si="208">SUM(I643*0.2)</f>
        <v>200119.2</v>
      </c>
      <c r="L643" s="19">
        <v>2084844.69</v>
      </c>
    </row>
    <row r="644" spans="2:19" ht="18.5" customHeight="1">
      <c r="B644" s="13">
        <v>616</v>
      </c>
      <c r="C644" s="13" t="s">
        <v>14</v>
      </c>
      <c r="D644" s="14" t="s">
        <v>85</v>
      </c>
      <c r="E644" s="6">
        <v>24018800</v>
      </c>
      <c r="F644" s="5">
        <v>23104800</v>
      </c>
      <c r="G644" s="5">
        <v>394200</v>
      </c>
      <c r="H644" s="5">
        <f t="shared" si="205"/>
        <v>23499000</v>
      </c>
      <c r="I644" s="5">
        <f t="shared" si="206"/>
        <v>519800</v>
      </c>
      <c r="J644" s="7">
        <f t="shared" si="207"/>
        <v>0.97835861908171928</v>
      </c>
      <c r="K644" s="6">
        <f t="shared" si="208"/>
        <v>103960</v>
      </c>
      <c r="L644" s="19">
        <v>4946506.55</v>
      </c>
    </row>
    <row r="645" spans="2:19" ht="18.5" customHeight="1">
      <c r="B645" s="13">
        <v>616</v>
      </c>
      <c r="C645" s="13" t="s">
        <v>15</v>
      </c>
      <c r="D645" s="14" t="s">
        <v>85</v>
      </c>
      <c r="E645" s="6">
        <v>24615900</v>
      </c>
      <c r="F645" s="5">
        <v>23826900</v>
      </c>
      <c r="G645" s="5">
        <v>264000</v>
      </c>
      <c r="H645" s="5">
        <f t="shared" si="205"/>
        <v>24090900</v>
      </c>
      <c r="I645" s="5">
        <f t="shared" si="206"/>
        <v>525000</v>
      </c>
      <c r="J645" s="7">
        <f t="shared" si="207"/>
        <v>0.97867232154826755</v>
      </c>
      <c r="K645" s="6">
        <f t="shared" si="208"/>
        <v>105000</v>
      </c>
      <c r="L645" s="19">
        <v>962961.89999999991</v>
      </c>
    </row>
    <row r="646" spans="2:19" ht="18.5" customHeight="1">
      <c r="B646" s="13">
        <v>616</v>
      </c>
      <c r="C646" s="13" t="s">
        <v>16</v>
      </c>
      <c r="D646" s="14" t="s">
        <v>85</v>
      </c>
      <c r="E646" s="6">
        <v>24615900</v>
      </c>
      <c r="F646" s="5">
        <v>23826900</v>
      </c>
      <c r="G646" s="5">
        <v>264000</v>
      </c>
      <c r="H646" s="5">
        <f t="shared" si="205"/>
        <v>24090900</v>
      </c>
      <c r="I646" s="5">
        <f t="shared" si="206"/>
        <v>525000</v>
      </c>
      <c r="J646" s="7">
        <f t="shared" si="207"/>
        <v>0.97867232154826755</v>
      </c>
      <c r="K646" s="6">
        <f t="shared" si="208"/>
        <v>105000</v>
      </c>
      <c r="L646" s="19">
        <v>566113.56999999995</v>
      </c>
    </row>
    <row r="647" spans="2:19" ht="18.5" customHeight="1">
      <c r="B647" s="13">
        <v>616</v>
      </c>
      <c r="C647" s="13" t="s">
        <v>17</v>
      </c>
      <c r="D647" s="14" t="s">
        <v>85</v>
      </c>
      <c r="E647" s="6">
        <v>54414160</v>
      </c>
      <c r="F647" s="5">
        <v>51227150</v>
      </c>
      <c r="G647" s="5">
        <v>1769563</v>
      </c>
      <c r="H647" s="5">
        <f t="shared" si="205"/>
        <v>52996713</v>
      </c>
      <c r="I647" s="5">
        <f t="shared" si="206"/>
        <v>1417447</v>
      </c>
      <c r="J647" s="7">
        <f t="shared" si="207"/>
        <v>0.97395076943207426</v>
      </c>
      <c r="K647" s="6">
        <f t="shared" si="208"/>
        <v>283489.40000000002</v>
      </c>
      <c r="L647" s="19">
        <v>339280</v>
      </c>
    </row>
    <row r="648" spans="2:19" ht="18.5" customHeight="1">
      <c r="B648" s="13">
        <v>616</v>
      </c>
      <c r="C648" s="13" t="s">
        <v>18</v>
      </c>
      <c r="D648" s="14" t="s">
        <v>85</v>
      </c>
      <c r="E648" s="6">
        <v>54033192</v>
      </c>
      <c r="F648" s="5">
        <v>47762109</v>
      </c>
      <c r="G648" s="5">
        <v>3872854</v>
      </c>
      <c r="H648" s="5">
        <f t="shared" si="205"/>
        <v>51634963</v>
      </c>
      <c r="I648" s="5">
        <f t="shared" si="206"/>
        <v>2398229</v>
      </c>
      <c r="J648" s="7">
        <f t="shared" si="207"/>
        <v>0.95561563344249589</v>
      </c>
      <c r="K648" s="6">
        <f t="shared" si="208"/>
        <v>479645.80000000005</v>
      </c>
      <c r="L648" s="19">
        <v>927016</v>
      </c>
    </row>
    <row r="649" spans="2:19" ht="18.5" customHeight="1">
      <c r="B649" s="13">
        <v>616</v>
      </c>
      <c r="C649" s="13" t="s">
        <v>19</v>
      </c>
      <c r="D649" s="14" t="s">
        <v>85</v>
      </c>
      <c r="E649" s="11">
        <v>53184162</v>
      </c>
      <c r="F649" s="8">
        <v>48118570</v>
      </c>
      <c r="G649" s="8">
        <v>2888563</v>
      </c>
      <c r="H649" s="5">
        <f t="shared" si="205"/>
        <v>51007133</v>
      </c>
      <c r="I649" s="5">
        <f t="shared" si="206"/>
        <v>2177029</v>
      </c>
      <c r="J649" s="7">
        <f t="shared" si="207"/>
        <v>0.95906621599114417</v>
      </c>
      <c r="K649" s="6">
        <f t="shared" si="208"/>
        <v>435405.80000000005</v>
      </c>
      <c r="L649" s="4">
        <v>1939195</v>
      </c>
      <c r="M649" s="4"/>
    </row>
    <row r="650" spans="2:19" ht="18.5" customHeight="1">
      <c r="B650" s="13">
        <v>616</v>
      </c>
      <c r="C650" s="13" t="s">
        <v>20</v>
      </c>
      <c r="D650" s="14" t="s">
        <v>85</v>
      </c>
      <c r="E650" s="11">
        <v>57784124</v>
      </c>
      <c r="F650" s="8">
        <v>52828240</v>
      </c>
      <c r="G650" s="8">
        <v>855500</v>
      </c>
      <c r="H650" s="5">
        <f t="shared" si="205"/>
        <v>53683740</v>
      </c>
      <c r="I650" s="5">
        <f t="shared" si="206"/>
        <v>4100384</v>
      </c>
      <c r="J650" s="7">
        <f t="shared" si="207"/>
        <v>0.92903960956473097</v>
      </c>
      <c r="K650" s="6">
        <f t="shared" si="208"/>
        <v>820076.8</v>
      </c>
      <c r="L650" s="19">
        <v>2023256.9199999997</v>
      </c>
    </row>
    <row r="651" spans="2:19" ht="18.5" customHeight="1">
      <c r="B651" s="13">
        <v>616</v>
      </c>
      <c r="C651" s="13" t="s">
        <v>21</v>
      </c>
      <c r="D651" s="14" t="s">
        <v>85</v>
      </c>
      <c r="E651" s="5">
        <v>58129999.910000004</v>
      </c>
      <c r="F651" s="5">
        <v>54306575.669999994</v>
      </c>
      <c r="G651" s="5">
        <v>541920</v>
      </c>
      <c r="H651" s="5">
        <f t="shared" si="205"/>
        <v>54848495.669999994</v>
      </c>
      <c r="I651" s="5">
        <f t="shared" si="206"/>
        <v>3281504.2400000095</v>
      </c>
      <c r="J651" s="7">
        <f t="shared" si="207"/>
        <v>0.94354886899912938</v>
      </c>
      <c r="K651" s="6">
        <f t="shared" si="208"/>
        <v>656300.84800000198</v>
      </c>
      <c r="L651" s="19">
        <v>2307872.3599999994</v>
      </c>
    </row>
    <row r="652" spans="2:19" s="24" customFormat="1" ht="18.5" customHeight="1">
      <c r="B652" s="27"/>
      <c r="C652" s="27"/>
      <c r="D652" s="28" t="s">
        <v>22</v>
      </c>
      <c r="E652" s="23">
        <f>SUM(E643:E651)/9</f>
        <v>41716304.212222226</v>
      </c>
      <c r="F652" s="23">
        <f>SUM(F643:F651)/9</f>
        <v>38556653.074444443</v>
      </c>
      <c r="G652" s="23">
        <f>SUM(G643:G651)/9</f>
        <v>1387985.6666666667</v>
      </c>
      <c r="H652" s="23">
        <f>SUM(H643:H651)/9</f>
        <v>39944638.741111115</v>
      </c>
      <c r="I652" s="23">
        <f>SUM(I643:I651)/9</f>
        <v>1771665.4711111123</v>
      </c>
      <c r="J652" s="29">
        <f>SUM(H652/E652)</f>
        <v>0.95753062250917131</v>
      </c>
      <c r="K652" s="23">
        <f>SUM(K643:K651)/9</f>
        <v>354333.09422222245</v>
      </c>
      <c r="L652" s="20">
        <f>SUM(L643:L651)/9</f>
        <v>1788560.7766666666</v>
      </c>
      <c r="M652" s="20"/>
    </row>
    <row r="653" spans="2:19" s="24" customFormat="1" ht="18.5" customHeight="1">
      <c r="B653" s="27"/>
      <c r="C653" s="27"/>
      <c r="D653" s="28"/>
      <c r="E653" s="23"/>
      <c r="F653" s="23"/>
      <c r="G653" s="23"/>
      <c r="H653" s="23"/>
      <c r="I653" s="23"/>
      <c r="J653" s="29"/>
      <c r="K653" s="23"/>
      <c r="L653" s="20"/>
      <c r="M653" s="20"/>
    </row>
    <row r="654" spans="2:19" s="25" customFormat="1" ht="45.95" customHeight="1">
      <c r="B654" s="31" t="s">
        <v>1</v>
      </c>
      <c r="C654" s="31" t="s">
        <v>2</v>
      </c>
      <c r="D654" s="38" t="s">
        <v>80</v>
      </c>
      <c r="E654" s="37" t="s">
        <v>4</v>
      </c>
      <c r="F654" s="32" t="s">
        <v>5</v>
      </c>
      <c r="G654" s="32" t="s">
        <v>6</v>
      </c>
      <c r="H654" s="33" t="s">
        <v>7</v>
      </c>
      <c r="I654" s="33" t="s">
        <v>8</v>
      </c>
      <c r="J654" s="34" t="s">
        <v>9</v>
      </c>
      <c r="K654" s="33" t="s">
        <v>10</v>
      </c>
      <c r="L654" s="35" t="s">
        <v>11</v>
      </c>
      <c r="M654" s="36"/>
      <c r="N654" s="39"/>
      <c r="O654" s="40"/>
      <c r="P654" s="41"/>
      <c r="Q654" s="40"/>
      <c r="R654" s="42"/>
      <c r="S654" s="43"/>
    </row>
    <row r="655" spans="2:19" ht="18.5" customHeight="1">
      <c r="B655" s="13">
        <v>620</v>
      </c>
      <c r="C655" s="13" t="s">
        <v>12</v>
      </c>
      <c r="D655" s="14" t="s">
        <v>86</v>
      </c>
      <c r="E655" s="6">
        <v>92635400</v>
      </c>
      <c r="F655" s="5">
        <v>82265900</v>
      </c>
      <c r="G655" s="5">
        <v>6350000</v>
      </c>
      <c r="H655" s="5">
        <f t="shared" ref="H655:H663" si="209">SUM(F655+G655)</f>
        <v>88615900</v>
      </c>
      <c r="I655" s="5">
        <f t="shared" ref="I655:I663" si="210">SUM(E655-H655)</f>
        <v>4019500</v>
      </c>
      <c r="J655" s="7">
        <f t="shared" ref="J655:J663" si="211">SUM(H655/E655)</f>
        <v>0.95660946031430749</v>
      </c>
      <c r="K655" s="6">
        <f t="shared" ref="K655:K663" si="212">SUM(I655*0.2)</f>
        <v>803900</v>
      </c>
      <c r="L655" s="19">
        <v>3559945.49</v>
      </c>
    </row>
    <row r="656" spans="2:19" ht="18.5" customHeight="1">
      <c r="B656" s="13">
        <v>620</v>
      </c>
      <c r="C656" s="13" t="s">
        <v>14</v>
      </c>
      <c r="D656" s="14" t="s">
        <v>86</v>
      </c>
      <c r="E656" s="6">
        <v>95570400</v>
      </c>
      <c r="F656" s="5">
        <v>86792125</v>
      </c>
      <c r="G656" s="5">
        <v>4815000</v>
      </c>
      <c r="H656" s="5">
        <f t="shared" si="209"/>
        <v>91607125</v>
      </c>
      <c r="I656" s="5">
        <f t="shared" si="210"/>
        <v>3963275</v>
      </c>
      <c r="J656" s="7">
        <f t="shared" si="211"/>
        <v>0.95853030854741639</v>
      </c>
      <c r="K656" s="6">
        <f t="shared" si="212"/>
        <v>792655</v>
      </c>
      <c r="L656" s="19">
        <v>9155283.8599999994</v>
      </c>
    </row>
    <row r="657" spans="2:19" ht="18.5" customHeight="1">
      <c r="B657" s="13">
        <v>620</v>
      </c>
      <c r="C657" s="13" t="s">
        <v>15</v>
      </c>
      <c r="D657" s="14" t="s">
        <v>86</v>
      </c>
      <c r="E657" s="6">
        <v>92124000</v>
      </c>
      <c r="F657" s="5">
        <v>83992562</v>
      </c>
      <c r="G657" s="5">
        <v>4794500</v>
      </c>
      <c r="H657" s="5">
        <f t="shared" si="209"/>
        <v>88787062</v>
      </c>
      <c r="I657" s="5">
        <f t="shared" si="210"/>
        <v>3336938</v>
      </c>
      <c r="J657" s="7">
        <f t="shared" si="211"/>
        <v>0.9637777560679085</v>
      </c>
      <c r="K657" s="6">
        <f t="shared" si="212"/>
        <v>667387.60000000009</v>
      </c>
      <c r="L657" s="19">
        <v>4343231.63</v>
      </c>
    </row>
    <row r="658" spans="2:19" ht="18.5" customHeight="1">
      <c r="B658" s="13">
        <v>620</v>
      </c>
      <c r="C658" s="13" t="s">
        <v>16</v>
      </c>
      <c r="D658" s="14" t="s">
        <v>86</v>
      </c>
      <c r="E658" s="6">
        <v>90595300</v>
      </c>
      <c r="F658" s="5">
        <v>78809600</v>
      </c>
      <c r="G658" s="5">
        <v>8685100</v>
      </c>
      <c r="H658" s="5">
        <f t="shared" si="209"/>
        <v>87494700</v>
      </c>
      <c r="I658" s="5">
        <f t="shared" si="210"/>
        <v>3100600</v>
      </c>
      <c r="J658" s="7">
        <f t="shared" si="211"/>
        <v>0.96577526648733436</v>
      </c>
      <c r="K658" s="6">
        <f t="shared" si="212"/>
        <v>620120</v>
      </c>
      <c r="L658" s="19">
        <v>2962428.3799999994</v>
      </c>
    </row>
    <row r="659" spans="2:19" ht="18.5" customHeight="1">
      <c r="B659" s="13">
        <v>620</v>
      </c>
      <c r="C659" s="13" t="s">
        <v>17</v>
      </c>
      <c r="D659" s="14" t="s">
        <v>86</v>
      </c>
      <c r="E659" s="6">
        <v>91966600</v>
      </c>
      <c r="F659" s="5">
        <v>81264300</v>
      </c>
      <c r="G659" s="5">
        <v>8126500</v>
      </c>
      <c r="H659" s="5">
        <f t="shared" si="209"/>
        <v>89390800</v>
      </c>
      <c r="I659" s="5">
        <f t="shared" si="210"/>
        <v>2575800</v>
      </c>
      <c r="J659" s="7">
        <f t="shared" si="211"/>
        <v>0.97199200579340761</v>
      </c>
      <c r="K659" s="6">
        <f t="shared" si="212"/>
        <v>515160</v>
      </c>
      <c r="L659" s="19">
        <v>539822</v>
      </c>
    </row>
    <row r="660" spans="2:19" ht="18.5" customHeight="1">
      <c r="B660" s="13">
        <v>620</v>
      </c>
      <c r="C660" s="13" t="s">
        <v>18</v>
      </c>
      <c r="D660" s="14" t="s">
        <v>86</v>
      </c>
      <c r="E660" s="6">
        <v>89638800</v>
      </c>
      <c r="F660" s="5">
        <v>80304982</v>
      </c>
      <c r="G660" s="5">
        <v>7641000</v>
      </c>
      <c r="H660" s="5">
        <f t="shared" si="209"/>
        <v>87945982</v>
      </c>
      <c r="I660" s="5">
        <f t="shared" si="210"/>
        <v>1692818</v>
      </c>
      <c r="J660" s="7">
        <f t="shared" si="211"/>
        <v>0.98111511979187582</v>
      </c>
      <c r="K660" s="6">
        <f t="shared" si="212"/>
        <v>338563.60000000003</v>
      </c>
      <c r="L660" s="19">
        <v>397828</v>
      </c>
    </row>
    <row r="661" spans="2:19" ht="18.5" customHeight="1">
      <c r="B661" s="13">
        <v>620</v>
      </c>
      <c r="C661" s="13" t="s">
        <v>19</v>
      </c>
      <c r="D661" s="14" t="s">
        <v>86</v>
      </c>
      <c r="E661" s="11">
        <v>90113800</v>
      </c>
      <c r="F661" s="8">
        <v>78114700</v>
      </c>
      <c r="G661" s="8">
        <v>10314200</v>
      </c>
      <c r="H661" s="5">
        <f t="shared" si="209"/>
        <v>88428900</v>
      </c>
      <c r="I661" s="5">
        <f t="shared" si="210"/>
        <v>1684900</v>
      </c>
      <c r="J661" s="7">
        <f t="shared" si="211"/>
        <v>0.98130253079994412</v>
      </c>
      <c r="K661" s="6">
        <f t="shared" si="212"/>
        <v>336980</v>
      </c>
      <c r="L661" s="4">
        <v>1386044</v>
      </c>
      <c r="M661" s="4"/>
    </row>
    <row r="662" spans="2:19" ht="18.5" customHeight="1">
      <c r="B662" s="13">
        <v>620</v>
      </c>
      <c r="C662" s="13" t="s">
        <v>20</v>
      </c>
      <c r="D662" s="14" t="s">
        <v>86</v>
      </c>
      <c r="E662" s="11">
        <v>147959400</v>
      </c>
      <c r="F662" s="8">
        <v>120491849</v>
      </c>
      <c r="G662" s="8">
        <v>21866258</v>
      </c>
      <c r="H662" s="5">
        <f t="shared" si="209"/>
        <v>142358107</v>
      </c>
      <c r="I662" s="5">
        <f t="shared" si="210"/>
        <v>5601293</v>
      </c>
      <c r="J662" s="7">
        <f t="shared" si="211"/>
        <v>0.96214304059086475</v>
      </c>
      <c r="K662" s="6">
        <f t="shared" si="212"/>
        <v>1120258.6000000001</v>
      </c>
      <c r="L662" s="19">
        <v>1447895.2200000002</v>
      </c>
    </row>
    <row r="663" spans="2:19" ht="18.5" customHeight="1">
      <c r="B663" s="13">
        <v>620</v>
      </c>
      <c r="C663" s="13" t="s">
        <v>21</v>
      </c>
      <c r="D663" s="14" t="s">
        <v>86</v>
      </c>
      <c r="E663" s="5">
        <v>151724600</v>
      </c>
      <c r="F663" s="5">
        <v>127938909</v>
      </c>
      <c r="G663" s="5">
        <v>15380000</v>
      </c>
      <c r="H663" s="5">
        <f t="shared" si="209"/>
        <v>143318909</v>
      </c>
      <c r="I663" s="5">
        <f t="shared" si="210"/>
        <v>8405691</v>
      </c>
      <c r="J663" s="7">
        <f t="shared" si="211"/>
        <v>0.94459902349388303</v>
      </c>
      <c r="K663" s="6">
        <f t="shared" si="212"/>
        <v>1681138.2000000002</v>
      </c>
      <c r="L663" s="19">
        <v>1316701.3199999998</v>
      </c>
    </row>
    <row r="664" spans="2:19" s="24" customFormat="1" ht="18.5" customHeight="1">
      <c r="B664" s="27"/>
      <c r="C664" s="27"/>
      <c r="D664" s="28" t="s">
        <v>22</v>
      </c>
      <c r="E664" s="23">
        <f>SUM(E655:E663)/9</f>
        <v>104703144.44444445</v>
      </c>
      <c r="F664" s="23">
        <f>SUM(F655:F663)/9</f>
        <v>91108325.222222224</v>
      </c>
      <c r="G664" s="23">
        <f>SUM(G655:G663)/9</f>
        <v>9774728.666666666</v>
      </c>
      <c r="H664" s="23">
        <f>SUM(H655:H663)/9</f>
        <v>100883053.8888889</v>
      </c>
      <c r="I664" s="23">
        <f>SUM(I655:I663)/9</f>
        <v>3820090.5555555555</v>
      </c>
      <c r="J664" s="29">
        <f>SUM(H664/E664)</f>
        <v>0.96351503504670299</v>
      </c>
      <c r="K664" s="23">
        <f>SUM(K655:K663)/9</f>
        <v>764018.11111111124</v>
      </c>
      <c r="L664" s="20">
        <f>SUM(L655:L663)/9</f>
        <v>2789908.8777777776</v>
      </c>
      <c r="M664" s="20"/>
    </row>
    <row r="665" spans="2:19" s="24" customFormat="1" ht="18.5" customHeight="1">
      <c r="B665" s="27"/>
      <c r="C665" s="27"/>
      <c r="D665" s="28"/>
      <c r="E665" s="23"/>
      <c r="F665" s="23"/>
      <c r="G665" s="23"/>
      <c r="H665" s="23"/>
      <c r="I665" s="23"/>
      <c r="J665" s="29"/>
      <c r="K665" s="23"/>
      <c r="L665" s="20"/>
      <c r="M665" s="20"/>
    </row>
    <row r="666" spans="2:19" s="25" customFormat="1" ht="45.95" customHeight="1">
      <c r="B666" s="31" t="s">
        <v>1</v>
      </c>
      <c r="C666" s="31" t="s">
        <v>2</v>
      </c>
      <c r="D666" s="38" t="s">
        <v>80</v>
      </c>
      <c r="E666" s="37" t="s">
        <v>4</v>
      </c>
      <c r="F666" s="32" t="s">
        <v>5</v>
      </c>
      <c r="G666" s="32" t="s">
        <v>6</v>
      </c>
      <c r="H666" s="33" t="s">
        <v>7</v>
      </c>
      <c r="I666" s="33" t="s">
        <v>8</v>
      </c>
      <c r="J666" s="34" t="s">
        <v>9</v>
      </c>
      <c r="K666" s="33" t="s">
        <v>10</v>
      </c>
      <c r="L666" s="35" t="s">
        <v>11</v>
      </c>
      <c r="M666" s="36"/>
      <c r="N666" s="39"/>
      <c r="O666" s="40"/>
      <c r="P666" s="41"/>
      <c r="Q666" s="40"/>
      <c r="R666" s="42"/>
      <c r="S666" s="43"/>
    </row>
    <row r="667" spans="2:19" ht="18.5" customHeight="1">
      <c r="B667" s="13">
        <v>628</v>
      </c>
      <c r="C667" s="13" t="s">
        <v>12</v>
      </c>
      <c r="D667" s="14" t="s">
        <v>87</v>
      </c>
      <c r="E667" s="6">
        <v>52147800</v>
      </c>
      <c r="F667" s="5">
        <v>51022770</v>
      </c>
      <c r="G667" s="5">
        <v>160711</v>
      </c>
      <c r="H667" s="5">
        <f t="shared" ref="H667:H675" si="213">SUM(F667+G667)</f>
        <v>51183481</v>
      </c>
      <c r="I667" s="5">
        <f t="shared" ref="I667:I675" si="214">SUM(E667-H667)</f>
        <v>964319</v>
      </c>
      <c r="J667" s="7">
        <f t="shared" ref="J667:J675" si="215">SUM(H667/E667)</f>
        <v>0.98150796390259987</v>
      </c>
      <c r="K667" s="6">
        <f t="shared" ref="K667:K675" si="216">SUM(I667*0.2)</f>
        <v>192863.80000000002</v>
      </c>
      <c r="L667" s="19">
        <v>996581.55999999994</v>
      </c>
    </row>
    <row r="668" spans="2:19" ht="18.5" customHeight="1">
      <c r="B668" s="13">
        <v>628</v>
      </c>
      <c r="C668" s="13" t="s">
        <v>14</v>
      </c>
      <c r="D668" s="14" t="s">
        <v>87</v>
      </c>
      <c r="E668" s="6">
        <v>52755100</v>
      </c>
      <c r="F668" s="5">
        <v>51528496</v>
      </c>
      <c r="G668" s="5">
        <v>0</v>
      </c>
      <c r="H668" s="5">
        <f t="shared" si="213"/>
        <v>51528496</v>
      </c>
      <c r="I668" s="5">
        <f t="shared" si="214"/>
        <v>1226604</v>
      </c>
      <c r="J668" s="7">
        <f t="shared" si="215"/>
        <v>0.97674909155702483</v>
      </c>
      <c r="K668" s="6">
        <f t="shared" si="216"/>
        <v>245320.80000000002</v>
      </c>
      <c r="L668" s="19">
        <v>657922.93999999994</v>
      </c>
    </row>
    <row r="669" spans="2:19" ht="18.5" customHeight="1">
      <c r="B669" s="13">
        <v>628</v>
      </c>
      <c r="C669" s="13" t="s">
        <v>15</v>
      </c>
      <c r="D669" s="14" t="s">
        <v>87</v>
      </c>
      <c r="E669" s="6">
        <v>52755100</v>
      </c>
      <c r="F669" s="5">
        <v>51320579</v>
      </c>
      <c r="G669" s="5">
        <v>0</v>
      </c>
      <c r="H669" s="5">
        <f t="shared" si="213"/>
        <v>51320579</v>
      </c>
      <c r="I669" s="5">
        <f t="shared" si="214"/>
        <v>1434521</v>
      </c>
      <c r="J669" s="7">
        <f t="shared" si="215"/>
        <v>0.97280791809701805</v>
      </c>
      <c r="K669" s="6">
        <f t="shared" si="216"/>
        <v>286904.2</v>
      </c>
      <c r="L669" s="19">
        <v>562388.3899999999</v>
      </c>
    </row>
    <row r="670" spans="2:19" ht="18.5" customHeight="1">
      <c r="B670" s="13">
        <v>628</v>
      </c>
      <c r="C670" s="13" t="s">
        <v>16</v>
      </c>
      <c r="D670" s="14" t="s">
        <v>87</v>
      </c>
      <c r="E670" s="6">
        <v>52755100</v>
      </c>
      <c r="F670" s="5">
        <v>48134976</v>
      </c>
      <c r="G670" s="5">
        <v>0</v>
      </c>
      <c r="H670" s="5">
        <f t="shared" si="213"/>
        <v>48134976</v>
      </c>
      <c r="I670" s="5">
        <f t="shared" si="214"/>
        <v>4620124</v>
      </c>
      <c r="J670" s="7">
        <f t="shared" si="215"/>
        <v>0.91242317804344986</v>
      </c>
      <c r="K670" s="6">
        <f t="shared" si="216"/>
        <v>924024.8</v>
      </c>
      <c r="L670" s="19">
        <v>364036.8</v>
      </c>
    </row>
    <row r="671" spans="2:19" ht="18.5" customHeight="1">
      <c r="B671" s="13">
        <v>628</v>
      </c>
      <c r="C671" s="13" t="s">
        <v>17</v>
      </c>
      <c r="D671" s="14" t="s">
        <v>87</v>
      </c>
      <c r="E671" s="6">
        <v>52755096</v>
      </c>
      <c r="F671" s="5">
        <v>49879776</v>
      </c>
      <c r="G671" s="5">
        <v>0</v>
      </c>
      <c r="H671" s="5">
        <f t="shared" si="213"/>
        <v>49879776</v>
      </c>
      <c r="I671" s="5">
        <f t="shared" si="214"/>
        <v>2875320</v>
      </c>
      <c r="J671" s="7">
        <f t="shared" si="215"/>
        <v>0.94549682934895996</v>
      </c>
      <c r="K671" s="6">
        <f t="shared" si="216"/>
        <v>575064</v>
      </c>
      <c r="L671" s="19">
        <v>569518</v>
      </c>
    </row>
    <row r="672" spans="2:19" ht="18.5" customHeight="1">
      <c r="B672" s="13">
        <v>628</v>
      </c>
      <c r="C672" s="13" t="s">
        <v>18</v>
      </c>
      <c r="D672" s="14" t="s">
        <v>87</v>
      </c>
      <c r="E672" s="6">
        <v>46300700</v>
      </c>
      <c r="F672" s="5">
        <v>43760311</v>
      </c>
      <c r="G672" s="5">
        <v>0</v>
      </c>
      <c r="H672" s="5">
        <f t="shared" si="213"/>
        <v>43760311</v>
      </c>
      <c r="I672" s="5">
        <f t="shared" si="214"/>
        <v>2540389</v>
      </c>
      <c r="J672" s="7">
        <f t="shared" si="215"/>
        <v>0.94513281656648818</v>
      </c>
      <c r="K672" s="6">
        <f t="shared" si="216"/>
        <v>508077.80000000005</v>
      </c>
      <c r="L672" s="19">
        <v>932023</v>
      </c>
    </row>
    <row r="673" spans="2:19" ht="18.5" customHeight="1">
      <c r="B673" s="13">
        <v>628</v>
      </c>
      <c r="C673" s="13" t="s">
        <v>19</v>
      </c>
      <c r="D673" s="14" t="s">
        <v>87</v>
      </c>
      <c r="E673" s="11">
        <v>231300000</v>
      </c>
      <c r="F673" s="11">
        <v>188801232</v>
      </c>
      <c r="G673" s="11">
        <v>6072090</v>
      </c>
      <c r="H673" s="5">
        <f t="shared" si="213"/>
        <v>194873322</v>
      </c>
      <c r="I673" s="5">
        <f t="shared" si="214"/>
        <v>36426678</v>
      </c>
      <c r="J673" s="7">
        <f t="shared" si="215"/>
        <v>0.84251328145265891</v>
      </c>
      <c r="K673" s="6">
        <f t="shared" si="216"/>
        <v>7285335.6000000006</v>
      </c>
      <c r="L673" s="4">
        <v>758781</v>
      </c>
      <c r="M673" s="4"/>
    </row>
    <row r="674" spans="2:19" ht="18.5" customHeight="1">
      <c r="B674" s="13">
        <v>628</v>
      </c>
      <c r="C674" s="13" t="s">
        <v>20</v>
      </c>
      <c r="D674" s="14" t="s">
        <v>87</v>
      </c>
      <c r="E674" s="11">
        <v>210600000</v>
      </c>
      <c r="F674" s="11">
        <v>172894086</v>
      </c>
      <c r="G674" s="11">
        <v>6724846</v>
      </c>
      <c r="H674" s="5">
        <f t="shared" si="213"/>
        <v>179618932</v>
      </c>
      <c r="I674" s="5">
        <f t="shared" si="214"/>
        <v>30981068</v>
      </c>
      <c r="J674" s="7">
        <f t="shared" si="215"/>
        <v>0.8528914150047483</v>
      </c>
      <c r="K674" s="6">
        <f t="shared" si="216"/>
        <v>6196213.6000000006</v>
      </c>
      <c r="L674" s="19">
        <v>2221799.0099999998</v>
      </c>
    </row>
    <row r="675" spans="2:19" ht="18.5" customHeight="1">
      <c r="B675" s="13">
        <v>628</v>
      </c>
      <c r="C675" s="13" t="s">
        <v>21</v>
      </c>
      <c r="D675" s="14" t="s">
        <v>87</v>
      </c>
      <c r="E675" s="5">
        <v>201155000</v>
      </c>
      <c r="F675" s="5">
        <v>169253847.63</v>
      </c>
      <c r="G675" s="5">
        <v>2309525</v>
      </c>
      <c r="H675" s="5">
        <f t="shared" si="213"/>
        <v>171563372.63</v>
      </c>
      <c r="I675" s="5">
        <f t="shared" si="214"/>
        <v>29591627.370000005</v>
      </c>
      <c r="J675" s="7">
        <f t="shared" si="215"/>
        <v>0.85289141522706369</v>
      </c>
      <c r="K675" s="6">
        <f t="shared" si="216"/>
        <v>5918325.4740000013</v>
      </c>
      <c r="L675" s="19">
        <v>988281.06</v>
      </c>
    </row>
    <row r="676" spans="2:19" s="24" customFormat="1" ht="18.5" customHeight="1">
      <c r="B676" s="27"/>
      <c r="C676" s="27"/>
      <c r="D676" s="28" t="s">
        <v>22</v>
      </c>
      <c r="E676" s="23">
        <f>SUM(E667:E675)/9</f>
        <v>105835988.44444445</v>
      </c>
      <c r="F676" s="23">
        <f>SUM(F667:F675)/9</f>
        <v>91844008.181111112</v>
      </c>
      <c r="G676" s="23">
        <f>SUM(G667:G675)/9</f>
        <v>1696352.4444444445</v>
      </c>
      <c r="H676" s="23">
        <f>SUM(H667:H675)/9</f>
        <v>93540360.62555556</v>
      </c>
      <c r="I676" s="23">
        <f>SUM(I667:I675)/9</f>
        <v>12295627.81888889</v>
      </c>
      <c r="J676" s="29">
        <f>SUM(H676/E676)</f>
        <v>0.88382375409718861</v>
      </c>
      <c r="K676" s="23">
        <f>SUM(K667:K675)/9</f>
        <v>2459125.5637777778</v>
      </c>
      <c r="L676" s="20">
        <f>SUM(L667:L675)/9</f>
        <v>894592.41777777777</v>
      </c>
      <c r="M676" s="20"/>
    </row>
    <row r="677" spans="2:19" s="24" customFormat="1" ht="18.5" customHeight="1">
      <c r="B677" s="27"/>
      <c r="C677" s="27"/>
      <c r="D677" s="28"/>
      <c r="E677" s="23"/>
      <c r="F677" s="23"/>
      <c r="G677" s="23"/>
      <c r="H677" s="23"/>
      <c r="I677" s="23"/>
      <c r="J677" s="29"/>
      <c r="K677" s="23"/>
      <c r="L677" s="20"/>
      <c r="M677" s="20"/>
    </row>
    <row r="678" spans="2:19" s="25" customFormat="1" ht="45.95" customHeight="1">
      <c r="B678" s="31" t="s">
        <v>1</v>
      </c>
      <c r="C678" s="31" t="s">
        <v>2</v>
      </c>
      <c r="D678" s="38" t="s">
        <v>80</v>
      </c>
      <c r="E678" s="37" t="s">
        <v>4</v>
      </c>
      <c r="F678" s="32" t="s">
        <v>5</v>
      </c>
      <c r="G678" s="32" t="s">
        <v>6</v>
      </c>
      <c r="H678" s="33" t="s">
        <v>7</v>
      </c>
      <c r="I678" s="33" t="s">
        <v>8</v>
      </c>
      <c r="J678" s="34" t="s">
        <v>9</v>
      </c>
      <c r="K678" s="33" t="s">
        <v>10</v>
      </c>
      <c r="L678" s="35" t="s">
        <v>11</v>
      </c>
      <c r="M678" s="36"/>
      <c r="N678" s="39"/>
      <c r="O678" s="40"/>
      <c r="P678" s="41"/>
      <c r="Q678" s="40"/>
      <c r="R678" s="42"/>
      <c r="S678" s="43"/>
    </row>
    <row r="679" spans="2:19" ht="18.5" customHeight="1">
      <c r="B679" s="13">
        <v>636</v>
      </c>
      <c r="C679" s="13" t="s">
        <v>12</v>
      </c>
      <c r="D679" s="14" t="s">
        <v>88</v>
      </c>
      <c r="E679" s="6">
        <v>107121400</v>
      </c>
      <c r="F679" s="5">
        <v>104606413</v>
      </c>
      <c r="G679" s="5">
        <v>0</v>
      </c>
      <c r="H679" s="5">
        <f t="shared" ref="H679:H687" si="217">SUM(F679+G679)</f>
        <v>104606413</v>
      </c>
      <c r="I679" s="5">
        <f t="shared" ref="I679:I687" si="218">SUM(E679-H679)</f>
        <v>2514987</v>
      </c>
      <c r="J679" s="7">
        <f t="shared" ref="J679:J687" si="219">SUM(H679/E679)</f>
        <v>0.97652208615645431</v>
      </c>
      <c r="K679" s="6">
        <f t="shared" ref="K679:K687" si="220">SUM(I679*0.2)</f>
        <v>502997.4</v>
      </c>
      <c r="L679" s="19">
        <v>3556805.4399999995</v>
      </c>
    </row>
    <row r="680" spans="2:19" ht="18.5" customHeight="1">
      <c r="B680" s="13">
        <v>636</v>
      </c>
      <c r="C680" s="13" t="s">
        <v>14</v>
      </c>
      <c r="D680" s="14" t="s">
        <v>88</v>
      </c>
      <c r="E680" s="6">
        <v>105146700</v>
      </c>
      <c r="F680" s="5">
        <v>102431633</v>
      </c>
      <c r="G680" s="5">
        <v>0</v>
      </c>
      <c r="H680" s="5">
        <f t="shared" si="217"/>
        <v>102431633</v>
      </c>
      <c r="I680" s="5">
        <f t="shared" si="218"/>
        <v>2715067</v>
      </c>
      <c r="J680" s="7">
        <f t="shared" si="219"/>
        <v>0.97417829565740055</v>
      </c>
      <c r="K680" s="6">
        <f t="shared" si="220"/>
        <v>543013.4</v>
      </c>
      <c r="L680" s="19">
        <v>872828.76</v>
      </c>
    </row>
    <row r="681" spans="2:19" ht="18.5" customHeight="1">
      <c r="B681" s="13">
        <v>636</v>
      </c>
      <c r="C681" s="13" t="s">
        <v>15</v>
      </c>
      <c r="D681" s="14" t="s">
        <v>88</v>
      </c>
      <c r="E681" s="6">
        <v>98282700</v>
      </c>
      <c r="F681" s="5">
        <v>95237700</v>
      </c>
      <c r="G681" s="5">
        <v>0</v>
      </c>
      <c r="H681" s="5">
        <f t="shared" si="217"/>
        <v>95237700</v>
      </c>
      <c r="I681" s="5">
        <f t="shared" si="218"/>
        <v>3045000</v>
      </c>
      <c r="J681" s="7">
        <f t="shared" si="219"/>
        <v>0.96901794517244644</v>
      </c>
      <c r="K681" s="6">
        <f t="shared" si="220"/>
        <v>609000</v>
      </c>
      <c r="L681" s="19">
        <v>464654.41</v>
      </c>
    </row>
    <row r="682" spans="2:19" ht="18.5" customHeight="1">
      <c r="B682" s="13">
        <v>636</v>
      </c>
      <c r="C682" s="13" t="s">
        <v>16</v>
      </c>
      <c r="D682" s="14" t="s">
        <v>88</v>
      </c>
      <c r="E682" s="6">
        <v>422247400</v>
      </c>
      <c r="F682" s="5">
        <v>345153398</v>
      </c>
      <c r="G682" s="5">
        <v>53048867</v>
      </c>
      <c r="H682" s="5">
        <f t="shared" si="217"/>
        <v>398202265</v>
      </c>
      <c r="I682" s="5">
        <f t="shared" si="218"/>
        <v>24045135</v>
      </c>
      <c r="J682" s="7">
        <f t="shared" si="219"/>
        <v>0.94305439180916206</v>
      </c>
      <c r="K682" s="6">
        <f t="shared" si="220"/>
        <v>4809027</v>
      </c>
      <c r="L682" s="19">
        <v>956390.05</v>
      </c>
    </row>
    <row r="683" spans="2:19" ht="18.5" customHeight="1">
      <c r="B683" s="13">
        <v>636</v>
      </c>
      <c r="C683" s="13" t="s">
        <v>17</v>
      </c>
      <c r="D683" s="14" t="s">
        <v>88</v>
      </c>
      <c r="E683" s="6">
        <v>422247400</v>
      </c>
      <c r="F683" s="5">
        <v>345997485</v>
      </c>
      <c r="G683" s="5">
        <v>51547738</v>
      </c>
      <c r="H683" s="5">
        <f t="shared" si="217"/>
        <v>397545223</v>
      </c>
      <c r="I683" s="5">
        <f t="shared" si="218"/>
        <v>24702177</v>
      </c>
      <c r="J683" s="7">
        <f t="shared" si="219"/>
        <v>0.94149833249417281</v>
      </c>
      <c r="K683" s="6">
        <f t="shared" si="220"/>
        <v>4940435.4000000004</v>
      </c>
      <c r="L683" s="19">
        <v>1075332</v>
      </c>
    </row>
    <row r="684" spans="2:19" ht="18.5" customHeight="1">
      <c r="B684" s="13">
        <v>636</v>
      </c>
      <c r="C684" s="13" t="s">
        <v>18</v>
      </c>
      <c r="D684" s="14" t="s">
        <v>88</v>
      </c>
      <c r="E684" s="6">
        <v>413136000</v>
      </c>
      <c r="F684" s="5">
        <v>314423910</v>
      </c>
      <c r="G684" s="5">
        <v>57145323</v>
      </c>
      <c r="H684" s="5">
        <f t="shared" si="217"/>
        <v>371569233</v>
      </c>
      <c r="I684" s="5">
        <f t="shared" si="218"/>
        <v>41566767</v>
      </c>
      <c r="J684" s="7">
        <f t="shared" si="219"/>
        <v>0.89938720663413496</v>
      </c>
      <c r="K684" s="6">
        <f t="shared" si="220"/>
        <v>8313353.4000000004</v>
      </c>
      <c r="L684" s="19">
        <v>1029214</v>
      </c>
    </row>
    <row r="685" spans="2:19" ht="18.5" customHeight="1">
      <c r="B685" s="13">
        <v>636</v>
      </c>
      <c r="C685" s="13" t="s">
        <v>19</v>
      </c>
      <c r="D685" s="14" t="s">
        <v>88</v>
      </c>
      <c r="E685" s="11">
        <v>443000000</v>
      </c>
      <c r="F685" s="8">
        <v>350087955</v>
      </c>
      <c r="G685" s="8">
        <v>67660139</v>
      </c>
      <c r="H685" s="5">
        <f t="shared" si="217"/>
        <v>417748094</v>
      </c>
      <c r="I685" s="5">
        <f t="shared" si="218"/>
        <v>25251906</v>
      </c>
      <c r="J685" s="7">
        <f t="shared" si="219"/>
        <v>0.94299795485327309</v>
      </c>
      <c r="K685" s="6">
        <f t="shared" si="220"/>
        <v>5050381.2</v>
      </c>
      <c r="L685" s="4">
        <v>3219916</v>
      </c>
      <c r="M685" s="4"/>
    </row>
    <row r="686" spans="2:19" ht="18.5" customHeight="1">
      <c r="B686" s="13">
        <v>636</v>
      </c>
      <c r="C686" s="13" t="s">
        <v>20</v>
      </c>
      <c r="D686" s="14" t="s">
        <v>88</v>
      </c>
      <c r="E686" s="11">
        <v>471600000</v>
      </c>
      <c r="F686" s="8">
        <v>318108800</v>
      </c>
      <c r="G686" s="8">
        <v>5649800</v>
      </c>
      <c r="H686" s="5">
        <f t="shared" si="217"/>
        <v>323758600</v>
      </c>
      <c r="I686" s="5">
        <f t="shared" si="218"/>
        <v>147841400</v>
      </c>
      <c r="J686" s="7">
        <f t="shared" si="219"/>
        <v>0.68651102629346905</v>
      </c>
      <c r="K686" s="6">
        <f t="shared" si="220"/>
        <v>29568280</v>
      </c>
      <c r="L686" s="19">
        <v>4874056.001672253</v>
      </c>
    </row>
    <row r="687" spans="2:19" ht="18.5" customHeight="1">
      <c r="B687" s="13">
        <v>636</v>
      </c>
      <c r="C687" s="13" t="s">
        <v>21</v>
      </c>
      <c r="D687" s="14" t="s">
        <v>88</v>
      </c>
      <c r="E687" s="5">
        <v>504630000</v>
      </c>
      <c r="F687" s="5">
        <v>345825500</v>
      </c>
      <c r="G687" s="5">
        <v>6073500</v>
      </c>
      <c r="H687" s="5">
        <f t="shared" si="217"/>
        <v>351899000</v>
      </c>
      <c r="I687" s="5">
        <f t="shared" si="218"/>
        <v>152731000</v>
      </c>
      <c r="J687" s="7">
        <f t="shared" si="219"/>
        <v>0.6973406258050453</v>
      </c>
      <c r="K687" s="6">
        <f t="shared" si="220"/>
        <v>30546200</v>
      </c>
      <c r="L687" s="19">
        <v>4838171.2204750003</v>
      </c>
    </row>
    <row r="688" spans="2:19" s="24" customFormat="1" ht="18.5" customHeight="1">
      <c r="B688" s="27"/>
      <c r="C688" s="27"/>
      <c r="D688" s="28" t="s">
        <v>22</v>
      </c>
      <c r="E688" s="23">
        <f>SUM(E679:E687)/9</f>
        <v>331934622.22222221</v>
      </c>
      <c r="F688" s="23">
        <f>SUM(F679:F687)/9</f>
        <v>257985866</v>
      </c>
      <c r="G688" s="23">
        <f>SUM(G679:G687)/9</f>
        <v>26791707.444444444</v>
      </c>
      <c r="H688" s="23">
        <f>SUM(H679:H687)/9</f>
        <v>284777573.44444442</v>
      </c>
      <c r="I688" s="23">
        <f>SUM(I679:I687)/9</f>
        <v>47157048.777777776</v>
      </c>
      <c r="J688" s="29">
        <f>SUM(H688/E688)</f>
        <v>0.85793272041924185</v>
      </c>
      <c r="K688" s="23">
        <f>SUM(K679:K687)/9</f>
        <v>9431409.7555555552</v>
      </c>
      <c r="L688" s="20">
        <f>SUM(L679:L687)/9</f>
        <v>2320818.6535719167</v>
      </c>
      <c r="M688" s="20"/>
    </row>
    <row r="689" spans="2:19" s="24" customFormat="1" ht="18.5" customHeight="1">
      <c r="B689" s="27"/>
      <c r="C689" s="27"/>
      <c r="D689" s="28"/>
      <c r="E689" s="23"/>
      <c r="F689" s="23"/>
      <c r="G689" s="23"/>
      <c r="H689" s="23"/>
      <c r="I689" s="23"/>
      <c r="J689" s="29"/>
      <c r="K689" s="23"/>
      <c r="L689" s="20"/>
      <c r="M689" s="20"/>
    </row>
    <row r="690" spans="2:19" s="25" customFormat="1" ht="45.95" customHeight="1">
      <c r="B690" s="31" t="s">
        <v>1</v>
      </c>
      <c r="C690" s="31" t="s">
        <v>2</v>
      </c>
      <c r="D690" s="38" t="s">
        <v>80</v>
      </c>
      <c r="E690" s="37" t="s">
        <v>4</v>
      </c>
      <c r="F690" s="32" t="s">
        <v>5</v>
      </c>
      <c r="G690" s="32" t="s">
        <v>6</v>
      </c>
      <c r="H690" s="33" t="s">
        <v>7</v>
      </c>
      <c r="I690" s="33" t="s">
        <v>8</v>
      </c>
      <c r="J690" s="34" t="s">
        <v>9</v>
      </c>
      <c r="K690" s="33" t="s">
        <v>10</v>
      </c>
      <c r="L690" s="35" t="s">
        <v>11</v>
      </c>
      <c r="M690" s="36"/>
      <c r="N690" s="39"/>
      <c r="O690" s="40"/>
      <c r="P690" s="41"/>
      <c r="Q690" s="40"/>
      <c r="R690" s="42"/>
      <c r="S690" s="43"/>
    </row>
    <row r="691" spans="2:19" ht="18.5" customHeight="1">
      <c r="B691" s="13">
        <v>644</v>
      </c>
      <c r="C691" s="13" t="s">
        <v>12</v>
      </c>
      <c r="D691" s="14" t="s">
        <v>89</v>
      </c>
      <c r="E691" s="6">
        <v>93506200</v>
      </c>
      <c r="F691" s="5">
        <v>91109485</v>
      </c>
      <c r="G691" s="5">
        <v>0</v>
      </c>
      <c r="H691" s="5">
        <f t="shared" ref="H691:H699" si="221">SUM(F691+G691)</f>
        <v>91109485</v>
      </c>
      <c r="I691" s="5">
        <f t="shared" ref="I691:I699" si="222">SUM(E691-H691)</f>
        <v>2396715</v>
      </c>
      <c r="J691" s="7">
        <f t="shared" ref="J691:J699" si="223">SUM(H691/E691)</f>
        <v>0.9743683841285391</v>
      </c>
      <c r="K691" s="6">
        <f t="shared" ref="K691:K699" si="224">SUM(I691*0.2)</f>
        <v>479343</v>
      </c>
      <c r="L691" s="19">
        <v>1446873.3699999999</v>
      </c>
    </row>
    <row r="692" spans="2:19" ht="18.5" customHeight="1">
      <c r="B692" s="13">
        <v>644</v>
      </c>
      <c r="C692" s="13" t="s">
        <v>14</v>
      </c>
      <c r="D692" s="14" t="s">
        <v>89</v>
      </c>
      <c r="E692" s="6">
        <v>93448600</v>
      </c>
      <c r="F692" s="5">
        <v>90835562</v>
      </c>
      <c r="G692" s="5">
        <v>0</v>
      </c>
      <c r="H692" s="5">
        <f t="shared" si="221"/>
        <v>90835562</v>
      </c>
      <c r="I692" s="5">
        <f t="shared" si="222"/>
        <v>2613038</v>
      </c>
      <c r="J692" s="7">
        <f t="shared" si="223"/>
        <v>0.97203769772901893</v>
      </c>
      <c r="K692" s="6">
        <f t="shared" si="224"/>
        <v>522607.60000000003</v>
      </c>
      <c r="L692" s="19">
        <v>4021269.81</v>
      </c>
    </row>
    <row r="693" spans="2:19" ht="18.5" customHeight="1">
      <c r="B693" s="13">
        <v>644</v>
      </c>
      <c r="C693" s="13" t="s">
        <v>15</v>
      </c>
      <c r="D693" s="14" t="s">
        <v>89</v>
      </c>
      <c r="E693" s="6">
        <v>93225500</v>
      </c>
      <c r="F693" s="5">
        <v>90645256</v>
      </c>
      <c r="G693" s="5">
        <v>0</v>
      </c>
      <c r="H693" s="5">
        <f t="shared" si="221"/>
        <v>90645256</v>
      </c>
      <c r="I693" s="5">
        <f t="shared" si="222"/>
        <v>2580244</v>
      </c>
      <c r="J693" s="7">
        <f t="shared" si="223"/>
        <v>0.97232255123329991</v>
      </c>
      <c r="K693" s="6">
        <f t="shared" si="224"/>
        <v>516048.80000000005</v>
      </c>
      <c r="L693" s="19">
        <v>2791513.41</v>
      </c>
    </row>
    <row r="694" spans="2:19" ht="18.5" customHeight="1">
      <c r="B694" s="13">
        <v>644</v>
      </c>
      <c r="C694" s="13" t="s">
        <v>16</v>
      </c>
      <c r="D694" s="14" t="s">
        <v>89</v>
      </c>
      <c r="E694" s="6">
        <v>91092700</v>
      </c>
      <c r="F694" s="5">
        <v>90375673</v>
      </c>
      <c r="G694" s="5">
        <v>0</v>
      </c>
      <c r="H694" s="5">
        <f t="shared" si="221"/>
        <v>90375673</v>
      </c>
      <c r="I694" s="5">
        <f t="shared" si="222"/>
        <v>717027</v>
      </c>
      <c r="J694" s="7">
        <f t="shared" si="223"/>
        <v>0.99212860086483334</v>
      </c>
      <c r="K694" s="6">
        <f t="shared" si="224"/>
        <v>143405.4</v>
      </c>
      <c r="L694" s="19">
        <v>768412.93</v>
      </c>
    </row>
    <row r="695" spans="2:19" ht="18.5" customHeight="1">
      <c r="B695" s="13">
        <v>644</v>
      </c>
      <c r="C695" s="13" t="s">
        <v>17</v>
      </c>
      <c r="D695" s="14" t="s">
        <v>89</v>
      </c>
      <c r="E695" s="6">
        <v>368562060</v>
      </c>
      <c r="F695" s="5">
        <v>303136156</v>
      </c>
      <c r="G695" s="5">
        <v>24335500</v>
      </c>
      <c r="H695" s="5">
        <f t="shared" si="221"/>
        <v>327471656</v>
      </c>
      <c r="I695" s="5">
        <f t="shared" si="222"/>
        <v>41090404</v>
      </c>
      <c r="J695" s="7">
        <f t="shared" si="223"/>
        <v>0.88851157387171109</v>
      </c>
      <c r="K695" s="6">
        <f t="shared" si="224"/>
        <v>8218080.8000000007</v>
      </c>
      <c r="L695" s="19">
        <v>924563</v>
      </c>
    </row>
    <row r="696" spans="2:19" ht="18.5" customHeight="1">
      <c r="B696" s="13">
        <v>644</v>
      </c>
      <c r="C696" s="13" t="s">
        <v>18</v>
      </c>
      <c r="D696" s="14" t="s">
        <v>89</v>
      </c>
      <c r="E696" s="6">
        <v>428735300</v>
      </c>
      <c r="F696" s="5">
        <v>332637400</v>
      </c>
      <c r="G696" s="5">
        <v>9056000</v>
      </c>
      <c r="H696" s="5">
        <f t="shared" si="221"/>
        <v>341693400</v>
      </c>
      <c r="I696" s="5">
        <f t="shared" si="222"/>
        <v>87041900</v>
      </c>
      <c r="J696" s="7">
        <f t="shared" si="223"/>
        <v>0.79697986146697042</v>
      </c>
      <c r="K696" s="6">
        <f t="shared" si="224"/>
        <v>17408380</v>
      </c>
      <c r="L696" s="19">
        <v>845369</v>
      </c>
    </row>
    <row r="697" spans="2:19" ht="18.5" customHeight="1">
      <c r="B697" s="13">
        <v>644</v>
      </c>
      <c r="C697" s="13" t="s">
        <v>19</v>
      </c>
      <c r="D697" s="14" t="s">
        <v>89</v>
      </c>
      <c r="E697" s="11">
        <v>424897203</v>
      </c>
      <c r="F697" s="8">
        <v>334668960</v>
      </c>
      <c r="G697" s="8">
        <v>20193836</v>
      </c>
      <c r="H697" s="5">
        <f t="shared" si="221"/>
        <v>354862796</v>
      </c>
      <c r="I697" s="5">
        <f t="shared" si="222"/>
        <v>70034407</v>
      </c>
      <c r="J697" s="7">
        <f t="shared" si="223"/>
        <v>0.83517329249164296</v>
      </c>
      <c r="K697" s="6">
        <f t="shared" si="224"/>
        <v>14006881.4</v>
      </c>
      <c r="L697" s="4">
        <v>6872008</v>
      </c>
      <c r="M697" s="4"/>
    </row>
    <row r="698" spans="2:19" ht="18.5" customHeight="1">
      <c r="B698" s="13">
        <v>644</v>
      </c>
      <c r="C698" s="13" t="s">
        <v>20</v>
      </c>
      <c r="D698" s="14" t="s">
        <v>89</v>
      </c>
      <c r="E698" s="11">
        <v>416793477</v>
      </c>
      <c r="F698" s="8">
        <v>303223423</v>
      </c>
      <c r="G698" s="8">
        <v>26526852</v>
      </c>
      <c r="H698" s="5">
        <f t="shared" si="221"/>
        <v>329750275</v>
      </c>
      <c r="I698" s="5">
        <f t="shared" si="222"/>
        <v>87043202</v>
      </c>
      <c r="J698" s="7">
        <f t="shared" si="223"/>
        <v>0.79115987460619497</v>
      </c>
      <c r="K698" s="6">
        <f t="shared" si="224"/>
        <v>17408640.400000002</v>
      </c>
      <c r="L698" s="19">
        <v>7391076.1900000004</v>
      </c>
    </row>
    <row r="699" spans="2:19" ht="18.5" customHeight="1">
      <c r="B699" s="13">
        <v>644</v>
      </c>
      <c r="C699" s="13" t="s">
        <v>21</v>
      </c>
      <c r="D699" s="14" t="s">
        <v>89</v>
      </c>
      <c r="E699" s="5">
        <v>422579073.03000033</v>
      </c>
      <c r="F699" s="5">
        <v>364232355.56999999</v>
      </c>
      <c r="G699" s="5">
        <v>16601188.379999999</v>
      </c>
      <c r="H699" s="5">
        <f t="shared" si="221"/>
        <v>380833543.94999999</v>
      </c>
      <c r="I699" s="5">
        <f t="shared" si="222"/>
        <v>41745529.080000341</v>
      </c>
      <c r="J699" s="7">
        <f t="shared" si="223"/>
        <v>0.90121250259584751</v>
      </c>
      <c r="K699" s="6">
        <f t="shared" si="224"/>
        <v>8349105.8160000686</v>
      </c>
      <c r="L699" s="19">
        <v>2582582.8999999994</v>
      </c>
    </row>
    <row r="700" spans="2:19" s="24" customFormat="1" ht="18.5" customHeight="1">
      <c r="B700" s="27"/>
      <c r="C700" s="27"/>
      <c r="D700" s="28" t="s">
        <v>22</v>
      </c>
      <c r="E700" s="23">
        <f>SUM(E691:E699)/9</f>
        <v>270315568.11444449</v>
      </c>
      <c r="F700" s="23">
        <f>SUM(F691:F699)/9</f>
        <v>222318252.28555554</v>
      </c>
      <c r="G700" s="23">
        <f>SUM(G691:G699)/9</f>
        <v>10745930.708888888</v>
      </c>
      <c r="H700" s="23">
        <f>SUM(H691:H699)/9</f>
        <v>233064182.99444446</v>
      </c>
      <c r="I700" s="23">
        <f>SUM(I691:I699)/9</f>
        <v>37251385.120000035</v>
      </c>
      <c r="J700" s="29">
        <f>SUM(H700/E700)</f>
        <v>0.86219297179277232</v>
      </c>
      <c r="K700" s="23">
        <f>SUM(K691:K699)/9</f>
        <v>7450277.0240000077</v>
      </c>
      <c r="L700" s="20">
        <f>SUM(L691:L699)/9</f>
        <v>3071518.7344444445</v>
      </c>
      <c r="M700" s="20"/>
    </row>
    <row r="701" spans="2:19" s="24" customFormat="1" ht="18.5" customHeight="1">
      <c r="B701" s="27"/>
      <c r="C701" s="27"/>
      <c r="D701" s="28"/>
      <c r="E701" s="23"/>
      <c r="F701" s="23"/>
      <c r="G701" s="23"/>
      <c r="H701" s="23"/>
      <c r="I701" s="23"/>
      <c r="J701" s="29"/>
      <c r="K701" s="23"/>
      <c r="L701" s="20"/>
      <c r="M701" s="20"/>
    </row>
    <row r="702" spans="2:19" s="25" customFormat="1" ht="45.95" customHeight="1">
      <c r="B702" s="31" t="s">
        <v>1</v>
      </c>
      <c r="C702" s="31" t="s">
        <v>2</v>
      </c>
      <c r="D702" s="38" t="s">
        <v>80</v>
      </c>
      <c r="E702" s="37" t="s">
        <v>4</v>
      </c>
      <c r="F702" s="32" t="s">
        <v>5</v>
      </c>
      <c r="G702" s="32" t="s">
        <v>6</v>
      </c>
      <c r="H702" s="33" t="s">
        <v>7</v>
      </c>
      <c r="I702" s="33" t="s">
        <v>8</v>
      </c>
      <c r="J702" s="34" t="s">
        <v>9</v>
      </c>
      <c r="K702" s="33" t="s">
        <v>10</v>
      </c>
      <c r="L702" s="35" t="s">
        <v>11</v>
      </c>
      <c r="M702" s="36"/>
      <c r="N702" s="39"/>
      <c r="O702" s="40"/>
      <c r="P702" s="41"/>
      <c r="Q702" s="40"/>
      <c r="R702" s="42"/>
      <c r="S702" s="43"/>
    </row>
    <row r="703" spans="2:19" ht="18.5" customHeight="1">
      <c r="B703" s="13">
        <v>664</v>
      </c>
      <c r="C703" s="13" t="s">
        <v>12</v>
      </c>
      <c r="D703" s="14" t="s">
        <v>90</v>
      </c>
      <c r="E703" s="6">
        <v>203493806.00223801</v>
      </c>
      <c r="F703" s="5">
        <v>200304429.00223801</v>
      </c>
      <c r="G703" s="5">
        <v>1379235.4</v>
      </c>
      <c r="H703" s="5">
        <f t="shared" ref="H703:H711" si="225">SUM(F703+G703)</f>
        <v>201683664.40223801</v>
      </c>
      <c r="I703" s="5">
        <f t="shared" ref="I703:I711" si="226">SUM(E703-H703)</f>
        <v>1810141.599999994</v>
      </c>
      <c r="J703" s="7">
        <f t="shared" ref="J703:J711" si="227">SUM(H703/E703)</f>
        <v>0.99110468453285461</v>
      </c>
      <c r="K703" s="6">
        <f t="shared" ref="K703:K711" si="228">SUM(I703*0.2)</f>
        <v>362028.31999999884</v>
      </c>
      <c r="L703" s="19">
        <v>2240932.4</v>
      </c>
    </row>
    <row r="704" spans="2:19" ht="18.5" customHeight="1">
      <c r="B704" s="13">
        <v>664</v>
      </c>
      <c r="C704" s="13" t="s">
        <v>14</v>
      </c>
      <c r="D704" s="14" t="s">
        <v>90</v>
      </c>
      <c r="E704" s="6">
        <v>203384100</v>
      </c>
      <c r="F704" s="5">
        <v>200407531</v>
      </c>
      <c r="G704" s="5">
        <v>1106980</v>
      </c>
      <c r="H704" s="5">
        <f t="shared" si="225"/>
        <v>201514511</v>
      </c>
      <c r="I704" s="5">
        <f t="shared" si="226"/>
        <v>1869589</v>
      </c>
      <c r="J704" s="7">
        <f t="shared" si="227"/>
        <v>0.99080759508732497</v>
      </c>
      <c r="K704" s="6">
        <f t="shared" si="228"/>
        <v>373917.80000000005</v>
      </c>
      <c r="L704" s="19">
        <v>2455662.27</v>
      </c>
    </row>
    <row r="705" spans="2:19" ht="18.5" customHeight="1">
      <c r="B705" s="13">
        <v>664</v>
      </c>
      <c r="C705" s="13" t="s">
        <v>15</v>
      </c>
      <c r="D705" s="14" t="s">
        <v>90</v>
      </c>
      <c r="E705" s="6">
        <v>203384095</v>
      </c>
      <c r="F705" s="5">
        <v>198994508</v>
      </c>
      <c r="G705" s="5">
        <v>2295387</v>
      </c>
      <c r="H705" s="5">
        <f t="shared" si="225"/>
        <v>201289895</v>
      </c>
      <c r="I705" s="5">
        <f t="shared" si="226"/>
        <v>2094200</v>
      </c>
      <c r="J705" s="7">
        <f t="shared" si="227"/>
        <v>0.98970322630193874</v>
      </c>
      <c r="K705" s="6">
        <f t="shared" si="228"/>
        <v>418840</v>
      </c>
      <c r="L705" s="19">
        <v>2713173.92</v>
      </c>
    </row>
    <row r="706" spans="2:19" ht="18.5" customHeight="1">
      <c r="B706" s="13">
        <v>664</v>
      </c>
      <c r="C706" s="13" t="s">
        <v>16</v>
      </c>
      <c r="D706" s="14" t="s">
        <v>90</v>
      </c>
      <c r="E706" s="6">
        <v>203384095.26000008</v>
      </c>
      <c r="F706" s="5">
        <v>197285242</v>
      </c>
      <c r="G706" s="5">
        <v>4275110</v>
      </c>
      <c r="H706" s="5">
        <f t="shared" si="225"/>
        <v>201560352</v>
      </c>
      <c r="I706" s="5">
        <f t="shared" si="226"/>
        <v>1823743.2600000799</v>
      </c>
      <c r="J706" s="7">
        <f t="shared" si="227"/>
        <v>0.99103300945106521</v>
      </c>
      <c r="K706" s="6">
        <f t="shared" si="228"/>
        <v>364748.65200001601</v>
      </c>
      <c r="L706" s="19">
        <v>3472936.54</v>
      </c>
    </row>
    <row r="707" spans="2:19" ht="18.5" customHeight="1">
      <c r="B707" s="13">
        <v>664</v>
      </c>
      <c r="C707" s="13" t="s">
        <v>17</v>
      </c>
      <c r="D707" s="14" t="s">
        <v>90</v>
      </c>
      <c r="E707" s="6">
        <v>827403855</v>
      </c>
      <c r="F707" s="5">
        <v>624174856</v>
      </c>
      <c r="G707" s="5">
        <v>87358309</v>
      </c>
      <c r="H707" s="5">
        <f t="shared" si="225"/>
        <v>711533165</v>
      </c>
      <c r="I707" s="5">
        <f t="shared" si="226"/>
        <v>115870690</v>
      </c>
      <c r="J707" s="7">
        <f t="shared" si="227"/>
        <v>0.8599587259597673</v>
      </c>
      <c r="K707" s="6">
        <f t="shared" si="228"/>
        <v>23174138</v>
      </c>
      <c r="L707" s="19">
        <v>4385775</v>
      </c>
    </row>
    <row r="708" spans="2:19" ht="18.5" customHeight="1">
      <c r="B708" s="13">
        <v>664</v>
      </c>
      <c r="C708" s="13" t="s">
        <v>18</v>
      </c>
      <c r="D708" s="14" t="s">
        <v>90</v>
      </c>
      <c r="E708" s="6">
        <v>798268849</v>
      </c>
      <c r="F708" s="5">
        <v>635955277</v>
      </c>
      <c r="G708" s="5">
        <v>96839477</v>
      </c>
      <c r="H708" s="5">
        <f t="shared" si="225"/>
        <v>732794754</v>
      </c>
      <c r="I708" s="5">
        <f t="shared" si="226"/>
        <v>65474095</v>
      </c>
      <c r="J708" s="7">
        <f t="shared" si="227"/>
        <v>0.91797989476600506</v>
      </c>
      <c r="K708" s="6">
        <f t="shared" si="228"/>
        <v>13094819</v>
      </c>
      <c r="L708" s="19">
        <v>13062331</v>
      </c>
    </row>
    <row r="709" spans="2:19" ht="18.5" customHeight="1">
      <c r="B709" s="13">
        <v>664</v>
      </c>
      <c r="C709" s="13" t="s">
        <v>19</v>
      </c>
      <c r="D709" s="14" t="s">
        <v>90</v>
      </c>
      <c r="E709" s="8">
        <v>691425035</v>
      </c>
      <c r="F709" s="8">
        <v>548621741</v>
      </c>
      <c r="G709" s="8">
        <v>92438474</v>
      </c>
      <c r="H709" s="5">
        <f t="shared" si="225"/>
        <v>641060215</v>
      </c>
      <c r="I709" s="5">
        <f t="shared" si="226"/>
        <v>50364820</v>
      </c>
      <c r="J709" s="7">
        <f t="shared" si="227"/>
        <v>0.92715794561879006</v>
      </c>
      <c r="K709" s="6">
        <f t="shared" si="228"/>
        <v>10072964</v>
      </c>
      <c r="L709" s="4">
        <v>10371383</v>
      </c>
      <c r="M709" s="4"/>
    </row>
    <row r="710" spans="2:19" ht="18.5" customHeight="1">
      <c r="B710" s="13">
        <v>664</v>
      </c>
      <c r="C710" s="13" t="s">
        <v>20</v>
      </c>
      <c r="D710" s="14" t="s">
        <v>90</v>
      </c>
      <c r="E710" s="8">
        <v>709975497</v>
      </c>
      <c r="F710" s="8">
        <v>566889171</v>
      </c>
      <c r="G710" s="8">
        <v>88355975</v>
      </c>
      <c r="H710" s="5">
        <f t="shared" si="225"/>
        <v>655245146</v>
      </c>
      <c r="I710" s="5">
        <f t="shared" si="226"/>
        <v>54730351</v>
      </c>
      <c r="J710" s="7">
        <f t="shared" si="227"/>
        <v>0.92291233819862373</v>
      </c>
      <c r="K710" s="6">
        <f t="shared" si="228"/>
        <v>10946070.200000001</v>
      </c>
      <c r="L710" s="19">
        <v>12444208.400000002</v>
      </c>
    </row>
    <row r="711" spans="2:19" ht="18.5" customHeight="1">
      <c r="B711" s="13">
        <v>664</v>
      </c>
      <c r="C711" s="13" t="s">
        <v>21</v>
      </c>
      <c r="D711" s="14" t="s">
        <v>90</v>
      </c>
      <c r="E711" s="5">
        <v>718962954.12070489</v>
      </c>
      <c r="F711" s="5">
        <v>599832069.55254602</v>
      </c>
      <c r="G711" s="5">
        <v>70161470.185741827</v>
      </c>
      <c r="H711" s="5">
        <f t="shared" si="225"/>
        <v>669993539.73828781</v>
      </c>
      <c r="I711" s="5">
        <f t="shared" si="226"/>
        <v>48969414.382417083</v>
      </c>
      <c r="J711" s="7">
        <f t="shared" si="227"/>
        <v>0.93188882111136462</v>
      </c>
      <c r="K711" s="6">
        <f t="shared" si="228"/>
        <v>9793882.8764834162</v>
      </c>
      <c r="L711" s="19">
        <v>9544304.5099999998</v>
      </c>
    </row>
    <row r="712" spans="2:19" s="24" customFormat="1" ht="18.5" customHeight="1">
      <c r="B712" s="27"/>
      <c r="C712" s="27"/>
      <c r="D712" s="28" t="s">
        <v>22</v>
      </c>
      <c r="E712" s="23">
        <f>SUM(E703:E711)/9</f>
        <v>506631365.15366036</v>
      </c>
      <c r="F712" s="23">
        <f>SUM(F703:F711)/9</f>
        <v>419162758.28386492</v>
      </c>
      <c r="G712" s="23">
        <f>SUM(G703:G711)/9</f>
        <v>49356713.065082423</v>
      </c>
      <c r="H712" s="23">
        <f>SUM(H703:H711)/9</f>
        <v>468519471.34894729</v>
      </c>
      <c r="I712" s="23">
        <f>SUM(I703:I711)/9</f>
        <v>38111893.804713018</v>
      </c>
      <c r="J712" s="29">
        <f>SUM(H712/E712)</f>
        <v>0.92477391565926081</v>
      </c>
      <c r="K712" s="23">
        <f>SUM(K703:K711)/9</f>
        <v>7622378.7609426035</v>
      </c>
      <c r="L712" s="20">
        <f>SUM(L703:L711)/9</f>
        <v>6743411.8933333335</v>
      </c>
      <c r="M712" s="20"/>
    </row>
    <row r="713" spans="2:19" s="24" customFormat="1" ht="18.5" customHeight="1">
      <c r="B713" s="27"/>
      <c r="C713" s="27"/>
      <c r="D713" s="28"/>
      <c r="E713" s="23"/>
      <c r="F713" s="23"/>
      <c r="G713" s="23"/>
      <c r="H713" s="23"/>
      <c r="I713" s="23"/>
      <c r="J713" s="29"/>
      <c r="K713" s="23"/>
      <c r="L713" s="20"/>
      <c r="M713" s="20"/>
    </row>
    <row r="714" spans="2:19" s="25" customFormat="1" ht="45.95" customHeight="1">
      <c r="B714" s="31" t="s">
        <v>1</v>
      </c>
      <c r="C714" s="31" t="s">
        <v>2</v>
      </c>
      <c r="D714" s="38" t="s">
        <v>80</v>
      </c>
      <c r="E714" s="37" t="s">
        <v>4</v>
      </c>
      <c r="F714" s="32" t="s">
        <v>5</v>
      </c>
      <c r="G714" s="32" t="s">
        <v>6</v>
      </c>
      <c r="H714" s="33" t="s">
        <v>7</v>
      </c>
      <c r="I714" s="33" t="s">
        <v>8</v>
      </c>
      <c r="J714" s="34" t="s">
        <v>9</v>
      </c>
      <c r="K714" s="33" t="s">
        <v>10</v>
      </c>
      <c r="L714" s="35" t="s">
        <v>11</v>
      </c>
      <c r="M714" s="36"/>
      <c r="N714" s="39"/>
      <c r="O714" s="40"/>
      <c r="P714" s="41"/>
      <c r="Q714" s="40"/>
      <c r="R714" s="42"/>
      <c r="S714" s="43"/>
    </row>
    <row r="715" spans="2:19" ht="18.5" customHeight="1">
      <c r="B715" s="13">
        <v>676</v>
      </c>
      <c r="C715" s="13" t="s">
        <v>12</v>
      </c>
      <c r="D715" s="14" t="s">
        <v>91</v>
      </c>
      <c r="E715" s="6">
        <v>677444600</v>
      </c>
      <c r="F715" s="5">
        <v>627912600</v>
      </c>
      <c r="G715" s="5">
        <v>0</v>
      </c>
      <c r="H715" s="5">
        <f t="shared" ref="H715:H723" si="229">SUM(F715+G715)</f>
        <v>627912600</v>
      </c>
      <c r="I715" s="5">
        <f t="shared" ref="I715:I723" si="230">SUM(E715-H715)</f>
        <v>49532000</v>
      </c>
      <c r="J715" s="7">
        <f t="shared" ref="J715:J723" si="231">SUM(H715/E715)</f>
        <v>0.92688405812076735</v>
      </c>
      <c r="K715" s="6">
        <f t="shared" ref="K715:K723" si="232">SUM(I715*0.2)</f>
        <v>9906400</v>
      </c>
      <c r="L715" s="19">
        <v>50061991.490000002</v>
      </c>
    </row>
    <row r="716" spans="2:19" ht="18.5" customHeight="1">
      <c r="B716" s="13">
        <v>676</v>
      </c>
      <c r="C716" s="13" t="s">
        <v>14</v>
      </c>
      <c r="D716" s="14" t="s">
        <v>91</v>
      </c>
      <c r="E716" s="6">
        <v>668661400</v>
      </c>
      <c r="F716" s="5">
        <v>628297300</v>
      </c>
      <c r="G716" s="5">
        <v>0</v>
      </c>
      <c r="H716" s="5">
        <f t="shared" si="229"/>
        <v>628297300</v>
      </c>
      <c r="I716" s="5">
        <f t="shared" si="230"/>
        <v>40364100</v>
      </c>
      <c r="J716" s="7">
        <f t="shared" si="231"/>
        <v>0.93963446970320108</v>
      </c>
      <c r="K716" s="6">
        <f t="shared" si="232"/>
        <v>8072820</v>
      </c>
      <c r="L716" s="19">
        <v>56769273.63000001</v>
      </c>
    </row>
    <row r="717" spans="2:19" ht="18.5" customHeight="1">
      <c r="B717" s="13">
        <v>676</v>
      </c>
      <c r="C717" s="13" t="s">
        <v>15</v>
      </c>
      <c r="D717" s="14" t="s">
        <v>91</v>
      </c>
      <c r="E717" s="11">
        <v>667454600</v>
      </c>
      <c r="F717" s="8">
        <v>626700700</v>
      </c>
      <c r="G717" s="8">
        <v>0</v>
      </c>
      <c r="H717" s="5">
        <f t="shared" si="229"/>
        <v>626700700</v>
      </c>
      <c r="I717" s="5">
        <f t="shared" si="230"/>
        <v>40753900</v>
      </c>
      <c r="J717" s="7">
        <f t="shared" si="231"/>
        <v>0.93894131525949476</v>
      </c>
      <c r="K717" s="6">
        <f t="shared" si="232"/>
        <v>8150780</v>
      </c>
      <c r="L717" s="19">
        <v>67717858.650000006</v>
      </c>
    </row>
    <row r="718" spans="2:19" ht="18.5" customHeight="1">
      <c r="B718" s="13">
        <v>676</v>
      </c>
      <c r="C718" s="13" t="s">
        <v>16</v>
      </c>
      <c r="D718" s="14" t="s">
        <v>91</v>
      </c>
      <c r="E718" s="11">
        <v>667454600</v>
      </c>
      <c r="F718" s="8">
        <v>626700700</v>
      </c>
      <c r="G718" s="8">
        <v>0</v>
      </c>
      <c r="H718" s="5">
        <f t="shared" si="229"/>
        <v>626700700</v>
      </c>
      <c r="I718" s="5">
        <f t="shared" si="230"/>
        <v>40753900</v>
      </c>
      <c r="J718" s="7">
        <f t="shared" si="231"/>
        <v>0.93894131525949476</v>
      </c>
      <c r="K718" s="6">
        <f t="shared" si="232"/>
        <v>8150780</v>
      </c>
      <c r="L718" s="19">
        <v>69256176.850000009</v>
      </c>
    </row>
    <row r="719" spans="2:19" ht="18.5" customHeight="1">
      <c r="B719" s="13">
        <v>676</v>
      </c>
      <c r="C719" s="13" t="s">
        <v>17</v>
      </c>
      <c r="D719" s="14" t="s">
        <v>91</v>
      </c>
      <c r="E719" s="6">
        <v>1514203358</v>
      </c>
      <c r="F719" s="5">
        <v>152820539</v>
      </c>
      <c r="G719" s="5">
        <v>0</v>
      </c>
      <c r="H719" s="5">
        <f t="shared" si="229"/>
        <v>152820539</v>
      </c>
      <c r="I719" s="5">
        <f t="shared" si="230"/>
        <v>1361382819</v>
      </c>
      <c r="J719" s="7">
        <f t="shared" si="231"/>
        <v>0.10092471278220477</v>
      </c>
      <c r="K719" s="6">
        <f t="shared" si="232"/>
        <v>272276563.80000001</v>
      </c>
      <c r="L719" s="19">
        <v>74265852</v>
      </c>
    </row>
    <row r="720" spans="2:19" ht="18.5" customHeight="1">
      <c r="B720" s="13">
        <v>676</v>
      </c>
      <c r="C720" s="13" t="s">
        <v>18</v>
      </c>
      <c r="D720" s="14" t="s">
        <v>91</v>
      </c>
      <c r="E720" s="6">
        <v>1305830530.0899999</v>
      </c>
      <c r="F720" s="5">
        <v>130117127.31999993</v>
      </c>
      <c r="G720" s="5">
        <v>0</v>
      </c>
      <c r="H720" s="5">
        <f t="shared" si="229"/>
        <v>130117127.31999993</v>
      </c>
      <c r="I720" s="5">
        <f t="shared" si="230"/>
        <v>1175713402.77</v>
      </c>
      <c r="J720" s="7">
        <f t="shared" si="231"/>
        <v>9.9643195898499973E-2</v>
      </c>
      <c r="K720" s="6">
        <f t="shared" si="232"/>
        <v>235142680.55400002</v>
      </c>
      <c r="L720" s="19">
        <v>71027769</v>
      </c>
    </row>
    <row r="721" spans="2:19" ht="18.5" customHeight="1">
      <c r="B721" s="13">
        <v>676</v>
      </c>
      <c r="C721" s="13" t="s">
        <v>19</v>
      </c>
      <c r="D721" s="14" t="s">
        <v>91</v>
      </c>
      <c r="E721" s="8">
        <v>6829297000</v>
      </c>
      <c r="F721" s="8">
        <v>5523474620</v>
      </c>
      <c r="G721" s="5">
        <v>0</v>
      </c>
      <c r="H721" s="5">
        <f t="shared" si="229"/>
        <v>5523474620</v>
      </c>
      <c r="I721" s="5">
        <f t="shared" si="230"/>
        <v>1305822380</v>
      </c>
      <c r="J721" s="7">
        <f t="shared" si="231"/>
        <v>0.80879109811741967</v>
      </c>
      <c r="K721" s="6">
        <f t="shared" si="232"/>
        <v>261164476</v>
      </c>
      <c r="L721" s="4">
        <v>87186005</v>
      </c>
      <c r="M721" s="4"/>
    </row>
    <row r="722" spans="2:19" ht="18.5" customHeight="1">
      <c r="B722" s="13">
        <v>676</v>
      </c>
      <c r="C722" s="13" t="s">
        <v>20</v>
      </c>
      <c r="D722" s="14" t="s">
        <v>91</v>
      </c>
      <c r="E722" s="8">
        <v>6969975999.9999924</v>
      </c>
      <c r="F722" s="8">
        <v>5372486564.1837578</v>
      </c>
      <c r="G722" s="5">
        <v>163662375.74978206</v>
      </c>
      <c r="H722" s="5">
        <f t="shared" si="229"/>
        <v>5536148939.9335394</v>
      </c>
      <c r="I722" s="5">
        <f t="shared" si="230"/>
        <v>1433827060.066453</v>
      </c>
      <c r="J722" s="7">
        <f t="shared" si="231"/>
        <v>0.79428522278032887</v>
      </c>
      <c r="K722" s="6">
        <f t="shared" si="232"/>
        <v>286765412.01329058</v>
      </c>
      <c r="L722" s="19">
        <v>112070709.37000005</v>
      </c>
    </row>
    <row r="723" spans="2:19" ht="18.5" customHeight="1">
      <c r="B723" s="13">
        <v>676</v>
      </c>
      <c r="C723" s="13" t="s">
        <v>21</v>
      </c>
      <c r="D723" s="14" t="s">
        <v>91</v>
      </c>
      <c r="E723" s="5">
        <v>6737013000</v>
      </c>
      <c r="F723" s="5">
        <v>5547975206.2382994</v>
      </c>
      <c r="G723" s="5">
        <v>0</v>
      </c>
      <c r="H723" s="5">
        <f t="shared" si="229"/>
        <v>5547975206.2382994</v>
      </c>
      <c r="I723" s="5">
        <f t="shared" si="230"/>
        <v>1189037793.7617006</v>
      </c>
      <c r="J723" s="7">
        <f t="shared" si="231"/>
        <v>0.8235066796276479</v>
      </c>
      <c r="K723" s="6">
        <f t="shared" si="232"/>
        <v>237807558.75234014</v>
      </c>
      <c r="L723" s="19">
        <v>98197673.329999983</v>
      </c>
    </row>
    <row r="724" spans="2:19" s="24" customFormat="1" ht="18.5" customHeight="1">
      <c r="B724" s="27"/>
      <c r="C724" s="27"/>
      <c r="D724" s="28" t="s">
        <v>22</v>
      </c>
      <c r="E724" s="23">
        <f>SUM(E715:E723)/9</f>
        <v>2893037232.0099993</v>
      </c>
      <c r="F724" s="23">
        <f>SUM(F715:F723)/9</f>
        <v>2137387261.8602285</v>
      </c>
      <c r="G724" s="23">
        <f>SUM(G715:G723)/9</f>
        <v>18184708.41664245</v>
      </c>
      <c r="H724" s="23">
        <f>SUM(H715:H723)/9</f>
        <v>2155571970.2768712</v>
      </c>
      <c r="I724" s="23">
        <f>SUM(I715:I723)/9</f>
        <v>737465261.73312807</v>
      </c>
      <c r="J724" s="29">
        <f>SUM(H724/E724)</f>
        <v>0.74508960563194748</v>
      </c>
      <c r="K724" s="23">
        <f>SUM(K715:K723)/9</f>
        <v>147493052.34662566</v>
      </c>
      <c r="L724" s="20">
        <f>SUM(L715:L723)/9</f>
        <v>76283701.035555542</v>
      </c>
      <c r="M724" s="20"/>
    </row>
    <row r="725" spans="2:19" s="24" customFormat="1" ht="18.5" customHeight="1">
      <c r="B725" s="27"/>
      <c r="C725" s="27"/>
      <c r="D725" s="28"/>
      <c r="E725" s="23"/>
      <c r="F725" s="23"/>
      <c r="G725" s="23"/>
      <c r="H725" s="23"/>
      <c r="I725" s="23"/>
      <c r="J725" s="29"/>
      <c r="K725" s="23"/>
      <c r="L725" s="20"/>
      <c r="M725" s="20"/>
    </row>
    <row r="726" spans="2:19" s="25" customFormat="1" ht="45.95" customHeight="1">
      <c r="B726" s="31" t="s">
        <v>1</v>
      </c>
      <c r="C726" s="31" t="s">
        <v>2</v>
      </c>
      <c r="D726" s="38" t="s">
        <v>3</v>
      </c>
      <c r="E726" s="37" t="s">
        <v>4</v>
      </c>
      <c r="F726" s="32" t="s">
        <v>5</v>
      </c>
      <c r="G726" s="32" t="s">
        <v>6</v>
      </c>
      <c r="H726" s="33" t="s">
        <v>7</v>
      </c>
      <c r="I726" s="33" t="s">
        <v>8</v>
      </c>
      <c r="J726" s="34" t="s">
        <v>9</v>
      </c>
      <c r="K726" s="33" t="s">
        <v>10</v>
      </c>
      <c r="L726" s="35" t="s">
        <v>11</v>
      </c>
      <c r="M726" s="36"/>
      <c r="N726" s="39"/>
      <c r="O726" s="40"/>
      <c r="P726" s="41"/>
      <c r="Q726" s="40"/>
      <c r="R726" s="42"/>
      <c r="S726" s="43"/>
    </row>
    <row r="727" spans="2:19" ht="18.5" customHeight="1">
      <c r="B727" s="13">
        <v>684</v>
      </c>
      <c r="C727" s="13" t="s">
        <v>12</v>
      </c>
      <c r="D727" s="14" t="s">
        <v>92</v>
      </c>
      <c r="E727" s="6">
        <v>374719931</v>
      </c>
      <c r="F727" s="5">
        <v>374294521</v>
      </c>
      <c r="G727" s="5">
        <v>366644</v>
      </c>
      <c r="H727" s="5">
        <f t="shared" ref="H727:H735" si="233">SUM(F727+G727)</f>
        <v>374661165</v>
      </c>
      <c r="I727" s="5">
        <f t="shared" ref="I727:I735" si="234">SUM(E727-H727)</f>
        <v>58766</v>
      </c>
      <c r="J727" s="7">
        <f t="shared" ref="J727:J735" si="235">SUM(H727/E727)</f>
        <v>0.99984317354072105</v>
      </c>
      <c r="K727" s="6">
        <f t="shared" ref="K727:K735" si="236">SUM(I727*0.2)</f>
        <v>11753.2</v>
      </c>
      <c r="L727" s="19">
        <v>6531.2</v>
      </c>
    </row>
    <row r="728" spans="2:19" ht="18.5" customHeight="1">
      <c r="B728" s="13">
        <v>684</v>
      </c>
      <c r="C728" s="13" t="s">
        <v>14</v>
      </c>
      <c r="D728" s="14" t="s">
        <v>92</v>
      </c>
      <c r="E728" s="6">
        <v>370872688</v>
      </c>
      <c r="F728" s="5">
        <v>370645169</v>
      </c>
      <c r="G728" s="5">
        <v>210468</v>
      </c>
      <c r="H728" s="5">
        <f t="shared" si="233"/>
        <v>370855637</v>
      </c>
      <c r="I728" s="5">
        <f t="shared" si="234"/>
        <v>17051</v>
      </c>
      <c r="J728" s="7">
        <f t="shared" si="235"/>
        <v>0.99995402465441185</v>
      </c>
      <c r="K728" s="6">
        <f t="shared" si="236"/>
        <v>3410.2000000000003</v>
      </c>
      <c r="L728" s="19">
        <v>11072.27</v>
      </c>
    </row>
    <row r="729" spans="2:19" ht="18.5" customHeight="1">
      <c r="B729" s="13">
        <v>684</v>
      </c>
      <c r="C729" s="13" t="s">
        <v>15</v>
      </c>
      <c r="D729" s="14" t="s">
        <v>92</v>
      </c>
      <c r="E729" s="6">
        <v>381256096</v>
      </c>
      <c r="F729" s="5">
        <v>380947296</v>
      </c>
      <c r="G729" s="5">
        <v>287500</v>
      </c>
      <c r="H729" s="5">
        <f t="shared" si="233"/>
        <v>381234796</v>
      </c>
      <c r="I729" s="5">
        <f t="shared" si="234"/>
        <v>21300</v>
      </c>
      <c r="J729" s="7">
        <f t="shared" si="235"/>
        <v>0.9999441320408422</v>
      </c>
      <c r="K729" s="6">
        <f t="shared" si="236"/>
        <v>4260</v>
      </c>
      <c r="L729" s="19">
        <v>46393.63</v>
      </c>
    </row>
    <row r="730" spans="2:19" ht="18.5" customHeight="1">
      <c r="B730" s="13">
        <v>684</v>
      </c>
      <c r="C730" s="13" t="s">
        <v>16</v>
      </c>
      <c r="D730" s="14" t="s">
        <v>92</v>
      </c>
      <c r="E730" s="6">
        <v>393907298</v>
      </c>
      <c r="F730" s="5">
        <v>386823298</v>
      </c>
      <c r="G730" s="5">
        <v>7074150</v>
      </c>
      <c r="H730" s="5">
        <f t="shared" si="233"/>
        <v>393897448</v>
      </c>
      <c r="I730" s="5">
        <f t="shared" si="234"/>
        <v>9850</v>
      </c>
      <c r="J730" s="7">
        <f t="shared" si="235"/>
        <v>0.99997499411650914</v>
      </c>
      <c r="K730" s="6">
        <f t="shared" si="236"/>
        <v>1970</v>
      </c>
      <c r="L730" s="19">
        <v>310.64999999999998</v>
      </c>
    </row>
    <row r="731" spans="2:19" ht="18.5" customHeight="1">
      <c r="B731" s="13">
        <v>684</v>
      </c>
      <c r="C731" s="13" t="s">
        <v>17</v>
      </c>
      <c r="D731" s="14" t="s">
        <v>92</v>
      </c>
      <c r="E731" s="6">
        <v>228377169</v>
      </c>
      <c r="F731" s="5">
        <v>228100414</v>
      </c>
      <c r="G731" s="5">
        <v>261055</v>
      </c>
      <c r="H731" s="5">
        <f t="shared" si="233"/>
        <v>228361469</v>
      </c>
      <c r="I731" s="5">
        <f t="shared" si="234"/>
        <v>15700</v>
      </c>
      <c r="J731" s="7">
        <f t="shared" si="235"/>
        <v>0.99993125407382555</v>
      </c>
      <c r="K731" s="6">
        <f t="shared" si="236"/>
        <v>3140</v>
      </c>
      <c r="L731" s="19">
        <v>26496</v>
      </c>
    </row>
    <row r="732" spans="2:19" ht="18.5" customHeight="1">
      <c r="B732" s="13">
        <v>684</v>
      </c>
      <c r="C732" s="13" t="s">
        <v>18</v>
      </c>
      <c r="D732" s="14" t="s">
        <v>92</v>
      </c>
      <c r="E732" s="6">
        <v>367998900</v>
      </c>
      <c r="F732" s="5">
        <v>361101205</v>
      </c>
      <c r="G732" s="5">
        <v>6893175</v>
      </c>
      <c r="H732" s="5">
        <f t="shared" si="233"/>
        <v>367994380</v>
      </c>
      <c r="I732" s="5">
        <f t="shared" si="234"/>
        <v>4520</v>
      </c>
      <c r="J732" s="7">
        <f t="shared" si="235"/>
        <v>0.99998771735458991</v>
      </c>
      <c r="K732" s="6">
        <f t="shared" si="236"/>
        <v>904</v>
      </c>
      <c r="L732" s="19">
        <v>22817</v>
      </c>
    </row>
    <row r="733" spans="2:19" ht="18.5" customHeight="1">
      <c r="B733" s="13">
        <v>684</v>
      </c>
      <c r="C733" s="13" t="s">
        <v>19</v>
      </c>
      <c r="D733" s="14" t="s">
        <v>92</v>
      </c>
      <c r="E733" s="11">
        <v>361593404</v>
      </c>
      <c r="F733" s="8">
        <v>260603105</v>
      </c>
      <c r="G733" s="8">
        <v>100977724</v>
      </c>
      <c r="H733" s="5">
        <f t="shared" si="233"/>
        <v>361580829</v>
      </c>
      <c r="I733" s="5">
        <f t="shared" si="234"/>
        <v>12575</v>
      </c>
      <c r="J733" s="7">
        <f t="shared" si="235"/>
        <v>0.999965223370059</v>
      </c>
      <c r="K733" s="6">
        <f t="shared" si="236"/>
        <v>2515</v>
      </c>
      <c r="L733" s="4">
        <v>23141</v>
      </c>
      <c r="M733" s="4"/>
    </row>
    <row r="734" spans="2:19" ht="18.5" customHeight="1">
      <c r="B734" s="13">
        <v>684</v>
      </c>
      <c r="C734" s="13" t="s">
        <v>20</v>
      </c>
      <c r="D734" s="14" t="s">
        <v>92</v>
      </c>
      <c r="E734" s="11">
        <v>397171327</v>
      </c>
      <c r="F734" s="8">
        <v>273157882</v>
      </c>
      <c r="G734" s="8">
        <v>124001530</v>
      </c>
      <c r="H734" s="5">
        <f t="shared" si="233"/>
        <v>397159412</v>
      </c>
      <c r="I734" s="5">
        <f t="shared" si="234"/>
        <v>11915</v>
      </c>
      <c r="J734" s="7">
        <f t="shared" si="235"/>
        <v>0.99997000035201433</v>
      </c>
      <c r="K734" s="6">
        <f t="shared" si="236"/>
        <v>2383</v>
      </c>
      <c r="L734" s="19">
        <v>16765.12</v>
      </c>
    </row>
    <row r="735" spans="2:19" ht="18.5" customHeight="1">
      <c r="B735" s="13">
        <v>684</v>
      </c>
      <c r="C735" s="13" t="s">
        <v>21</v>
      </c>
      <c r="D735" s="14" t="s">
        <v>92</v>
      </c>
      <c r="E735" s="5">
        <v>407887033.55000001</v>
      </c>
      <c r="F735" s="5">
        <v>407319442.97000003</v>
      </c>
      <c r="G735" s="5">
        <v>393038.27</v>
      </c>
      <c r="H735" s="5">
        <f t="shared" si="233"/>
        <v>407712481.24000001</v>
      </c>
      <c r="I735" s="5">
        <f t="shared" si="234"/>
        <v>174552.31000000238</v>
      </c>
      <c r="J735" s="7">
        <f t="shared" si="235"/>
        <v>0.99957205722260689</v>
      </c>
      <c r="K735" s="6">
        <f t="shared" si="236"/>
        <v>34910.46200000048</v>
      </c>
      <c r="L735" s="19">
        <v>49055.840000000004</v>
      </c>
    </row>
    <row r="736" spans="2:19" s="24" customFormat="1" ht="18.5" customHeight="1">
      <c r="B736" s="27"/>
      <c r="C736" s="27"/>
      <c r="D736" s="28" t="s">
        <v>22</v>
      </c>
      <c r="E736" s="23">
        <f>SUM(E727:E735)/9</f>
        <v>364864871.83888888</v>
      </c>
      <c r="F736" s="23">
        <f>SUM(F727:F735)/9</f>
        <v>338110259.21888894</v>
      </c>
      <c r="G736" s="23">
        <f>SUM(G727:G735)/9</f>
        <v>26718364.918888889</v>
      </c>
      <c r="H736" s="23">
        <f>SUM(H727:H735)/9</f>
        <v>364828624.13777775</v>
      </c>
      <c r="I736" s="23">
        <f>SUM(I727:I735)/9</f>
        <v>36247.701111111375</v>
      </c>
      <c r="J736" s="30">
        <f>SUM(H736/E736)</f>
        <v>0.99990065445070542</v>
      </c>
      <c r="K736" s="23">
        <f>SUM(K727:K735)/9</f>
        <v>7249.5402222222756</v>
      </c>
      <c r="L736" s="20">
        <f>SUM(L727:L735)/9</f>
        <v>22509.19</v>
      </c>
      <c r="M736" s="20"/>
    </row>
    <row r="737" spans="2:19" s="24" customFormat="1" ht="18.5" customHeight="1">
      <c r="B737" s="27"/>
      <c r="C737" s="27"/>
      <c r="D737" s="28"/>
      <c r="E737" s="23"/>
      <c r="F737" s="23"/>
      <c r="G737" s="23"/>
      <c r="H737" s="23"/>
      <c r="I737" s="23"/>
      <c r="J737" s="30"/>
      <c r="K737" s="23"/>
      <c r="L737" s="20"/>
      <c r="M737" s="20"/>
    </row>
    <row r="738" spans="2:19" s="25" customFormat="1" ht="45.95" customHeight="1">
      <c r="B738" s="31" t="s">
        <v>1</v>
      </c>
      <c r="C738" s="31" t="s">
        <v>2</v>
      </c>
      <c r="D738" s="38" t="s">
        <v>3</v>
      </c>
      <c r="E738" s="37" t="s">
        <v>4</v>
      </c>
      <c r="F738" s="32" t="s">
        <v>5</v>
      </c>
      <c r="G738" s="32" t="s">
        <v>6</v>
      </c>
      <c r="H738" s="33" t="s">
        <v>7</v>
      </c>
      <c r="I738" s="33" t="s">
        <v>8</v>
      </c>
      <c r="J738" s="34" t="s">
        <v>9</v>
      </c>
      <c r="K738" s="33" t="s">
        <v>10</v>
      </c>
      <c r="L738" s="35" t="s">
        <v>11</v>
      </c>
      <c r="M738" s="36"/>
      <c r="N738" s="39"/>
      <c r="O738" s="40"/>
      <c r="P738" s="41"/>
      <c r="Q738" s="40"/>
      <c r="R738" s="42"/>
      <c r="S738" s="43"/>
    </row>
    <row r="739" spans="2:19" ht="18.5" customHeight="1">
      <c r="B739" s="13">
        <v>691</v>
      </c>
      <c r="C739" s="13" t="s">
        <v>12</v>
      </c>
      <c r="D739" s="14" t="s">
        <v>93</v>
      </c>
      <c r="E739" s="6">
        <v>721734658</v>
      </c>
      <c r="F739" s="5">
        <v>711467221</v>
      </c>
      <c r="G739" s="5">
        <v>3911049</v>
      </c>
      <c r="H739" s="5">
        <f t="shared" ref="H739:H747" si="237">SUM(F739+G739)</f>
        <v>715378270</v>
      </c>
      <c r="I739" s="5">
        <f t="shared" ref="I739:I747" si="238">SUM(E739-H739)</f>
        <v>6356388</v>
      </c>
      <c r="J739" s="7">
        <f t="shared" ref="J739:J747" si="239">SUM(H739/E739)</f>
        <v>0.99119290181018294</v>
      </c>
      <c r="K739" s="6">
        <f t="shared" ref="K739:K747" si="240">SUM(I739*0.2)</f>
        <v>1271277.6000000001</v>
      </c>
      <c r="L739" s="19">
        <v>2022312.31</v>
      </c>
    </row>
    <row r="740" spans="2:19" ht="18.5" customHeight="1">
      <c r="B740" s="13">
        <v>691</v>
      </c>
      <c r="C740" s="13" t="s">
        <v>14</v>
      </c>
      <c r="D740" s="14" t="s">
        <v>93</v>
      </c>
      <c r="E740" s="6">
        <v>719880600</v>
      </c>
      <c r="F740" s="5">
        <v>708534000</v>
      </c>
      <c r="G740" s="5">
        <v>3766266</v>
      </c>
      <c r="H740" s="5">
        <f t="shared" si="237"/>
        <v>712300266</v>
      </c>
      <c r="I740" s="5">
        <f t="shared" si="238"/>
        <v>7580334</v>
      </c>
      <c r="J740" s="7">
        <f t="shared" si="239"/>
        <v>0.98947001211034158</v>
      </c>
      <c r="K740" s="6">
        <f t="shared" si="240"/>
        <v>1516066.8</v>
      </c>
      <c r="L740" s="19">
        <v>2277531.12</v>
      </c>
    </row>
    <row r="741" spans="2:19" ht="18.5" customHeight="1">
      <c r="B741" s="13">
        <v>691</v>
      </c>
      <c r="C741" s="13" t="s">
        <v>15</v>
      </c>
      <c r="D741" s="14" t="s">
        <v>93</v>
      </c>
      <c r="E741" s="6">
        <v>739483500</v>
      </c>
      <c r="F741" s="5">
        <v>726556100</v>
      </c>
      <c r="G741" s="5">
        <v>5232200</v>
      </c>
      <c r="H741" s="5">
        <f t="shared" si="237"/>
        <v>731788300</v>
      </c>
      <c r="I741" s="5">
        <f t="shared" si="238"/>
        <v>7695200</v>
      </c>
      <c r="J741" s="7">
        <f t="shared" si="239"/>
        <v>0.98959381784718659</v>
      </c>
      <c r="K741" s="6">
        <f t="shared" si="240"/>
        <v>1539040</v>
      </c>
      <c r="L741" s="19">
        <v>2049596.67</v>
      </c>
    </row>
    <row r="742" spans="2:19" ht="18.5" customHeight="1">
      <c r="B742" s="13">
        <v>691</v>
      </c>
      <c r="C742" s="13" t="s">
        <v>16</v>
      </c>
      <c r="D742" s="14" t="s">
        <v>93</v>
      </c>
      <c r="E742" s="6">
        <v>746435800</v>
      </c>
      <c r="F742" s="5">
        <v>731563300</v>
      </c>
      <c r="G742" s="5">
        <v>7880230</v>
      </c>
      <c r="H742" s="5">
        <f t="shared" si="237"/>
        <v>739443530</v>
      </c>
      <c r="I742" s="5">
        <f t="shared" si="238"/>
        <v>6992270</v>
      </c>
      <c r="J742" s="7">
        <f t="shared" si="239"/>
        <v>0.99063245626750485</v>
      </c>
      <c r="K742" s="6">
        <f t="shared" si="240"/>
        <v>1398454</v>
      </c>
      <c r="L742" s="19">
        <v>2237524.17</v>
      </c>
    </row>
    <row r="743" spans="2:19" ht="18.5" customHeight="1">
      <c r="B743" s="13">
        <v>691</v>
      </c>
      <c r="C743" s="13" t="s">
        <v>17</v>
      </c>
      <c r="D743" s="14" t="s">
        <v>93</v>
      </c>
      <c r="E743" s="6">
        <v>638718900</v>
      </c>
      <c r="F743" s="5">
        <v>624279100</v>
      </c>
      <c r="G743" s="5">
        <v>6223300</v>
      </c>
      <c r="H743" s="5">
        <f t="shared" si="237"/>
        <v>630502400</v>
      </c>
      <c r="I743" s="5">
        <f t="shared" si="238"/>
        <v>8216500</v>
      </c>
      <c r="J743" s="7">
        <f t="shared" si="239"/>
        <v>0.98713596857710018</v>
      </c>
      <c r="K743" s="6">
        <f t="shared" si="240"/>
        <v>1643300</v>
      </c>
      <c r="L743" s="19">
        <v>1603237</v>
      </c>
    </row>
    <row r="744" spans="2:19" ht="18.5" customHeight="1">
      <c r="B744" s="13">
        <v>691</v>
      </c>
      <c r="C744" s="13" t="s">
        <v>18</v>
      </c>
      <c r="D744" s="14" t="s">
        <v>93</v>
      </c>
      <c r="E744" s="6">
        <v>902366000</v>
      </c>
      <c r="F744" s="5">
        <v>888070400</v>
      </c>
      <c r="G744" s="5">
        <v>8224500</v>
      </c>
      <c r="H744" s="5">
        <f t="shared" si="237"/>
        <v>896294900</v>
      </c>
      <c r="I744" s="5">
        <f t="shared" si="238"/>
        <v>6071100</v>
      </c>
      <c r="J744" s="7">
        <f t="shared" si="239"/>
        <v>0.99327202044403273</v>
      </c>
      <c r="K744" s="6">
        <f t="shared" si="240"/>
        <v>1214220</v>
      </c>
      <c r="L744" s="19">
        <v>668989</v>
      </c>
    </row>
    <row r="745" spans="2:19" ht="18.5" customHeight="1">
      <c r="B745" s="13">
        <v>691</v>
      </c>
      <c r="C745" s="13" t="s">
        <v>19</v>
      </c>
      <c r="D745" s="14" t="s">
        <v>93</v>
      </c>
      <c r="E745" s="11">
        <v>889535900</v>
      </c>
      <c r="F745" s="8">
        <v>875081300</v>
      </c>
      <c r="G745" s="8">
        <v>9421000</v>
      </c>
      <c r="H745" s="5">
        <f t="shared" si="237"/>
        <v>884502300</v>
      </c>
      <c r="I745" s="5">
        <f t="shared" si="238"/>
        <v>5033600</v>
      </c>
      <c r="J745" s="7">
        <f t="shared" si="239"/>
        <v>0.99434131888325139</v>
      </c>
      <c r="K745" s="6">
        <f t="shared" si="240"/>
        <v>1006720</v>
      </c>
      <c r="L745" s="4">
        <v>672232</v>
      </c>
      <c r="M745" s="4"/>
    </row>
    <row r="746" spans="2:19" ht="18.5" customHeight="1">
      <c r="B746" s="13">
        <v>691</v>
      </c>
      <c r="C746" s="13" t="s">
        <v>20</v>
      </c>
      <c r="D746" s="14" t="s">
        <v>93</v>
      </c>
      <c r="E746" s="11">
        <v>904400600</v>
      </c>
      <c r="F746" s="8">
        <v>892326150</v>
      </c>
      <c r="G746" s="8">
        <v>10624755</v>
      </c>
      <c r="H746" s="5">
        <f t="shared" si="237"/>
        <v>902950905</v>
      </c>
      <c r="I746" s="5">
        <f t="shared" si="238"/>
        <v>1449695</v>
      </c>
      <c r="J746" s="7">
        <f t="shared" si="239"/>
        <v>0.99839706541548068</v>
      </c>
      <c r="K746" s="6">
        <f t="shared" si="240"/>
        <v>289939</v>
      </c>
      <c r="L746" s="19">
        <v>651360.18000000005</v>
      </c>
    </row>
    <row r="747" spans="2:19" ht="18.5" customHeight="1">
      <c r="B747" s="13">
        <v>691</v>
      </c>
      <c r="C747" s="13" t="s">
        <v>21</v>
      </c>
      <c r="D747" s="14" t="s">
        <v>93</v>
      </c>
      <c r="E747" s="5">
        <v>881857349.12</v>
      </c>
      <c r="F747" s="5">
        <v>872160649.12</v>
      </c>
      <c r="G747" s="5">
        <v>8291955</v>
      </c>
      <c r="H747" s="5">
        <f t="shared" si="237"/>
        <v>880452604.12</v>
      </c>
      <c r="I747" s="5">
        <f t="shared" si="238"/>
        <v>1404745</v>
      </c>
      <c r="J747" s="7">
        <f t="shared" si="239"/>
        <v>0.99840706095900678</v>
      </c>
      <c r="K747" s="6">
        <f t="shared" si="240"/>
        <v>280949</v>
      </c>
      <c r="L747" s="19">
        <v>456416.42</v>
      </c>
    </row>
    <row r="748" spans="2:19" s="24" customFormat="1" ht="18.5" customHeight="1">
      <c r="B748" s="27"/>
      <c r="C748" s="27"/>
      <c r="D748" s="28" t="s">
        <v>22</v>
      </c>
      <c r="E748" s="23">
        <f>SUM(E739:E747)/9</f>
        <v>793823700.79111111</v>
      </c>
      <c r="F748" s="23">
        <f>SUM(F739:F747)/9</f>
        <v>781115357.79111111</v>
      </c>
      <c r="G748" s="23">
        <f>SUM(G739:G747)/9</f>
        <v>7063917.222222222</v>
      </c>
      <c r="H748" s="23">
        <f>SUM(H739:H747)/9</f>
        <v>788179275.01333332</v>
      </c>
      <c r="I748" s="23">
        <f>SUM(I739:I747)/9</f>
        <v>5644425.777777778</v>
      </c>
      <c r="J748" s="29">
        <f>SUM(H748/E748)</f>
        <v>0.99288957261901778</v>
      </c>
      <c r="K748" s="23">
        <f>SUM(K739:K747)/9</f>
        <v>1128885.1555555556</v>
      </c>
      <c r="L748" s="20">
        <f>SUM(L739:L747)/9</f>
        <v>1404355.43</v>
      </c>
      <c r="M748" s="20"/>
    </row>
    <row r="749" spans="2:19" s="24" customFormat="1" ht="18.5" customHeight="1">
      <c r="B749" s="27"/>
      <c r="C749" s="27"/>
      <c r="D749" s="28"/>
      <c r="E749" s="23"/>
      <c r="F749" s="23"/>
      <c r="G749" s="23"/>
      <c r="H749" s="23"/>
      <c r="I749" s="23"/>
      <c r="J749" s="29"/>
      <c r="K749" s="23"/>
      <c r="L749" s="20"/>
      <c r="M749" s="20"/>
    </row>
    <row r="750" spans="2:19" s="25" customFormat="1" ht="45.95" customHeight="1">
      <c r="B750" s="31" t="s">
        <v>1</v>
      </c>
      <c r="C750" s="31" t="s">
        <v>2</v>
      </c>
      <c r="D750" s="38" t="s">
        <v>3</v>
      </c>
      <c r="E750" s="37" t="s">
        <v>4</v>
      </c>
      <c r="F750" s="32" t="s">
        <v>5</v>
      </c>
      <c r="G750" s="32" t="s">
        <v>6</v>
      </c>
      <c r="H750" s="33" t="s">
        <v>7</v>
      </c>
      <c r="I750" s="33" t="s">
        <v>8</v>
      </c>
      <c r="J750" s="34" t="s">
        <v>9</v>
      </c>
      <c r="K750" s="33" t="s">
        <v>10</v>
      </c>
      <c r="L750" s="35" t="s">
        <v>11</v>
      </c>
      <c r="M750" s="36"/>
      <c r="N750" s="39"/>
      <c r="O750" s="40"/>
      <c r="P750" s="41"/>
      <c r="Q750" s="40"/>
      <c r="R750" s="42"/>
      <c r="S750" s="43"/>
    </row>
    <row r="751" spans="2:19" ht="18.5" customHeight="1">
      <c r="B751" s="13">
        <v>692</v>
      </c>
      <c r="C751" s="13" t="s">
        <v>12</v>
      </c>
      <c r="D751" s="14" t="s">
        <v>94</v>
      </c>
      <c r="E751" s="6">
        <v>22235924.490000017</v>
      </c>
      <c r="F751" s="5">
        <v>16856546.990000002</v>
      </c>
      <c r="G751" s="5">
        <v>4458875.6100000003</v>
      </c>
      <c r="H751" s="5">
        <f t="shared" ref="H751:H759" si="241">SUM(F751+G751)</f>
        <v>21315422.600000001</v>
      </c>
      <c r="I751" s="5">
        <f t="shared" ref="I751:I759" si="242">SUM(E751-H751)</f>
        <v>920501.8900000155</v>
      </c>
      <c r="J751" s="7">
        <f t="shared" ref="J751:J759" si="243">SUM(H751/E751)</f>
        <v>0.95860294046177452</v>
      </c>
      <c r="K751" s="6">
        <f t="shared" ref="K751:K759" si="244">SUM(I751*0.2)</f>
        <v>184100.37800000311</v>
      </c>
      <c r="L751" s="19">
        <v>272986.56</v>
      </c>
    </row>
    <row r="752" spans="2:19" ht="18.5" customHeight="1">
      <c r="B752" s="13">
        <v>692</v>
      </c>
      <c r="C752" s="13" t="s">
        <v>14</v>
      </c>
      <c r="D752" s="14" t="s">
        <v>94</v>
      </c>
      <c r="E752" s="6">
        <v>22503837</v>
      </c>
      <c r="F752" s="5">
        <v>16835777</v>
      </c>
      <c r="G752" s="5">
        <v>4723129</v>
      </c>
      <c r="H752" s="5">
        <f t="shared" si="241"/>
        <v>21558906</v>
      </c>
      <c r="I752" s="5">
        <f t="shared" si="242"/>
        <v>944931</v>
      </c>
      <c r="J752" s="7">
        <f t="shared" si="243"/>
        <v>0.95801022732256724</v>
      </c>
      <c r="K752" s="6">
        <f t="shared" si="244"/>
        <v>188986.2</v>
      </c>
      <c r="L752" s="19">
        <v>335172.33</v>
      </c>
    </row>
    <row r="753" spans="2:19" ht="18.5" customHeight="1">
      <c r="B753" s="13">
        <v>692</v>
      </c>
      <c r="C753" s="13" t="s">
        <v>15</v>
      </c>
      <c r="D753" s="14" t="s">
        <v>94</v>
      </c>
      <c r="E753" s="6">
        <v>23121497.430000003</v>
      </c>
      <c r="F753" s="5">
        <v>15892338.219999999</v>
      </c>
      <c r="G753" s="5">
        <v>6318942</v>
      </c>
      <c r="H753" s="5">
        <f t="shared" si="241"/>
        <v>22211280.219999999</v>
      </c>
      <c r="I753" s="5">
        <f t="shared" si="242"/>
        <v>910217.21000000462</v>
      </c>
      <c r="J753" s="7">
        <f t="shared" si="243"/>
        <v>0.96063329320448754</v>
      </c>
      <c r="K753" s="6">
        <f t="shared" si="244"/>
        <v>182043.44200000094</v>
      </c>
      <c r="L753" s="19">
        <v>602586.26</v>
      </c>
    </row>
    <row r="754" spans="2:19" ht="18.5" customHeight="1">
      <c r="B754" s="13">
        <v>692</v>
      </c>
      <c r="C754" s="13" t="s">
        <v>16</v>
      </c>
      <c r="D754" s="14" t="s">
        <v>94</v>
      </c>
      <c r="E754" s="6">
        <v>6979930.8399999999</v>
      </c>
      <c r="F754" s="5">
        <v>424423.29</v>
      </c>
      <c r="G754" s="5">
        <v>6050383.2800000003</v>
      </c>
      <c r="H754" s="5">
        <f t="shared" si="241"/>
        <v>6474806.5700000003</v>
      </c>
      <c r="I754" s="5">
        <f t="shared" si="242"/>
        <v>505124.26999999955</v>
      </c>
      <c r="J754" s="7">
        <f t="shared" si="243"/>
        <v>0.92763190902905857</v>
      </c>
      <c r="K754" s="6">
        <f t="shared" si="244"/>
        <v>101024.85399999992</v>
      </c>
      <c r="L754" s="19">
        <v>775812.26</v>
      </c>
    </row>
    <row r="755" spans="2:19" ht="18.5" customHeight="1">
      <c r="B755" s="13">
        <v>692</v>
      </c>
      <c r="C755" s="13" t="s">
        <v>17</v>
      </c>
      <c r="D755" s="14" t="s">
        <v>94</v>
      </c>
      <c r="E755" s="6">
        <v>7126958</v>
      </c>
      <c r="F755" s="5">
        <v>482946</v>
      </c>
      <c r="G755" s="5">
        <v>5948218</v>
      </c>
      <c r="H755" s="5">
        <f t="shared" si="241"/>
        <v>6431164</v>
      </c>
      <c r="I755" s="5">
        <f t="shared" si="242"/>
        <v>695794</v>
      </c>
      <c r="J755" s="7">
        <f t="shared" si="243"/>
        <v>0.90237153074284993</v>
      </c>
      <c r="K755" s="6">
        <f t="shared" si="244"/>
        <v>139158.80000000002</v>
      </c>
      <c r="L755" s="19">
        <v>354323</v>
      </c>
    </row>
    <row r="756" spans="2:19" ht="18.5" customHeight="1">
      <c r="B756" s="13">
        <v>692</v>
      </c>
      <c r="C756" s="13" t="s">
        <v>18</v>
      </c>
      <c r="D756" s="14" t="s">
        <v>94</v>
      </c>
      <c r="E756" s="6">
        <v>22771947</v>
      </c>
      <c r="F756" s="5">
        <v>15408038</v>
      </c>
      <c r="G756" s="5">
        <v>5875048</v>
      </c>
      <c r="H756" s="5">
        <f t="shared" si="241"/>
        <v>21283086</v>
      </c>
      <c r="I756" s="5">
        <f t="shared" si="242"/>
        <v>1488861</v>
      </c>
      <c r="J756" s="7">
        <f t="shared" si="243"/>
        <v>0.93461863405882684</v>
      </c>
      <c r="K756" s="6">
        <f t="shared" si="244"/>
        <v>297772.2</v>
      </c>
      <c r="L756" s="19">
        <v>1782119</v>
      </c>
    </row>
    <row r="757" spans="2:19" ht="18.5" customHeight="1">
      <c r="B757" s="13">
        <v>692</v>
      </c>
      <c r="C757" s="13" t="s">
        <v>19</v>
      </c>
      <c r="D757" s="14" t="s">
        <v>94</v>
      </c>
      <c r="E757" s="11">
        <v>23364162</v>
      </c>
      <c r="F757" s="8">
        <v>15804541</v>
      </c>
      <c r="G757" s="8">
        <v>6586478</v>
      </c>
      <c r="H757" s="5">
        <f t="shared" si="241"/>
        <v>22391019</v>
      </c>
      <c r="I757" s="5">
        <f t="shared" si="242"/>
        <v>973143</v>
      </c>
      <c r="J757" s="7">
        <f t="shared" si="243"/>
        <v>0.95834890204921541</v>
      </c>
      <c r="K757" s="6">
        <f t="shared" si="244"/>
        <v>194628.6</v>
      </c>
      <c r="L757" s="4">
        <v>769232</v>
      </c>
      <c r="M757" s="4"/>
    </row>
    <row r="758" spans="2:19" ht="18.5" customHeight="1">
      <c r="B758" s="13">
        <v>692</v>
      </c>
      <c r="C758" s="13" t="s">
        <v>20</v>
      </c>
      <c r="D758" s="14" t="s">
        <v>94</v>
      </c>
      <c r="E758" s="11">
        <v>23001517</v>
      </c>
      <c r="F758" s="8">
        <v>17357425</v>
      </c>
      <c r="G758" s="8">
        <v>2913679</v>
      </c>
      <c r="H758" s="5">
        <f t="shared" si="241"/>
        <v>20271104</v>
      </c>
      <c r="I758" s="5">
        <f t="shared" si="242"/>
        <v>2730413</v>
      </c>
      <c r="J758" s="7">
        <f t="shared" si="243"/>
        <v>0.88129422072465913</v>
      </c>
      <c r="K758" s="6">
        <f t="shared" si="244"/>
        <v>546082.6</v>
      </c>
      <c r="L758" s="19">
        <v>716543.47000000009</v>
      </c>
    </row>
    <row r="759" spans="2:19" ht="18.5" customHeight="1">
      <c r="B759" s="13">
        <v>692</v>
      </c>
      <c r="C759" s="13" t="s">
        <v>21</v>
      </c>
      <c r="D759" s="14" t="s">
        <v>94</v>
      </c>
      <c r="E759" s="5">
        <v>24472105.649999999</v>
      </c>
      <c r="F759" s="5">
        <v>17871580</v>
      </c>
      <c r="G759" s="5">
        <v>1007257</v>
      </c>
      <c r="H759" s="5">
        <f t="shared" si="241"/>
        <v>18878837</v>
      </c>
      <c r="I759" s="5">
        <f t="shared" si="242"/>
        <v>5593268.6499999985</v>
      </c>
      <c r="J759" s="7">
        <f t="shared" si="243"/>
        <v>0.77144309811362721</v>
      </c>
      <c r="K759" s="6">
        <f t="shared" si="244"/>
        <v>1118653.7299999997</v>
      </c>
      <c r="L759" s="19">
        <v>494365.64999999997</v>
      </c>
    </row>
    <row r="760" spans="2:19" s="24" customFormat="1" ht="18.5" customHeight="1">
      <c r="B760" s="27"/>
      <c r="C760" s="27"/>
      <c r="D760" s="28" t="s">
        <v>22</v>
      </c>
      <c r="E760" s="23">
        <f>SUM(E751:E759)/9</f>
        <v>19508653.267777782</v>
      </c>
      <c r="F760" s="23">
        <f>SUM(F751:F759)/9</f>
        <v>12992623.944444444</v>
      </c>
      <c r="G760" s="23">
        <f>SUM(G751:G759)/9</f>
        <v>4875778.8766666669</v>
      </c>
      <c r="H760" s="23">
        <f>SUM(H751:H759)/9</f>
        <v>17868402.821111109</v>
      </c>
      <c r="I760" s="23">
        <f>SUM(I751:I759)/9</f>
        <v>1640250.4466666686</v>
      </c>
      <c r="J760" s="29">
        <f>SUM(H760/E760)</f>
        <v>0.91592190274990148</v>
      </c>
      <c r="K760" s="23">
        <f>SUM(K751:K759)/9</f>
        <v>328050.08933333377</v>
      </c>
      <c r="L760" s="20">
        <f>SUM(L751:L759)/9</f>
        <v>678126.72555555555</v>
      </c>
      <c r="M760" s="20"/>
    </row>
    <row r="761" spans="2:19" s="24" customFormat="1" ht="18.5" customHeight="1">
      <c r="B761" s="27"/>
      <c r="C761" s="27"/>
      <c r="D761" s="28"/>
      <c r="E761" s="23"/>
      <c r="F761" s="23"/>
      <c r="G761" s="23"/>
      <c r="H761" s="23"/>
      <c r="I761" s="23"/>
      <c r="J761" s="29"/>
      <c r="K761" s="23"/>
      <c r="L761" s="20"/>
      <c r="M761" s="20"/>
    </row>
    <row r="762" spans="2:19" s="25" customFormat="1" ht="45.95" customHeight="1">
      <c r="B762" s="31" t="s">
        <v>1</v>
      </c>
      <c r="C762" s="31" t="s">
        <v>2</v>
      </c>
      <c r="D762" s="38" t="s">
        <v>3</v>
      </c>
      <c r="E762" s="37" t="s">
        <v>4</v>
      </c>
      <c r="F762" s="32" t="s">
        <v>5</v>
      </c>
      <c r="G762" s="32" t="s">
        <v>6</v>
      </c>
      <c r="H762" s="33" t="s">
        <v>7</v>
      </c>
      <c r="I762" s="33" t="s">
        <v>8</v>
      </c>
      <c r="J762" s="34" t="s">
        <v>9</v>
      </c>
      <c r="K762" s="33" t="s">
        <v>10</v>
      </c>
      <c r="L762" s="35" t="s">
        <v>11</v>
      </c>
      <c r="M762" s="36"/>
      <c r="N762" s="39"/>
      <c r="O762" s="40"/>
      <c r="P762" s="41"/>
      <c r="Q762" s="40"/>
      <c r="R762" s="42"/>
      <c r="S762" s="43"/>
    </row>
    <row r="763" spans="2:19" ht="18.5" customHeight="1">
      <c r="B763" s="13">
        <v>695</v>
      </c>
      <c r="C763" s="13" t="s">
        <v>12</v>
      </c>
      <c r="D763" s="14" t="s">
        <v>95</v>
      </c>
      <c r="E763" s="6">
        <v>1205000</v>
      </c>
      <c r="F763" s="5">
        <v>1104312</v>
      </c>
      <c r="G763" s="5">
        <v>99538</v>
      </c>
      <c r="H763" s="5">
        <f t="shared" ref="H763:H771" si="245">SUM(F763+G763)</f>
        <v>1203850</v>
      </c>
      <c r="I763" s="5">
        <f t="shared" ref="I763:I771" si="246">SUM(E763-H763)</f>
        <v>1150</v>
      </c>
      <c r="J763" s="7">
        <f t="shared" ref="J763:J771" si="247">SUM(H763/E763)</f>
        <v>0.99904564315352695</v>
      </c>
      <c r="K763" s="6">
        <f t="shared" ref="K763:K771" si="248">SUM(I763*0.2)</f>
        <v>230</v>
      </c>
      <c r="L763" s="19">
        <v>9863.76</v>
      </c>
    </row>
    <row r="764" spans="2:19" ht="18.5" customHeight="1">
      <c r="B764" s="13">
        <v>695</v>
      </c>
      <c r="C764" s="13" t="s">
        <v>14</v>
      </c>
      <c r="D764" s="14" t="s">
        <v>95</v>
      </c>
      <c r="E764" s="6">
        <v>1205000</v>
      </c>
      <c r="F764" s="5">
        <v>1107307</v>
      </c>
      <c r="G764" s="5">
        <v>96488</v>
      </c>
      <c r="H764" s="5">
        <f t="shared" si="245"/>
        <v>1203795</v>
      </c>
      <c r="I764" s="5">
        <f t="shared" si="246"/>
        <v>1205</v>
      </c>
      <c r="J764" s="7">
        <f t="shared" si="247"/>
        <v>0.999</v>
      </c>
      <c r="K764" s="6">
        <f t="shared" si="248"/>
        <v>241</v>
      </c>
      <c r="L764" s="19">
        <v>4223.47</v>
      </c>
    </row>
    <row r="765" spans="2:19" ht="18.5" customHeight="1">
      <c r="B765" s="13">
        <v>695</v>
      </c>
      <c r="C765" s="13" t="s">
        <v>15</v>
      </c>
      <c r="D765" s="14" t="s">
        <v>95</v>
      </c>
      <c r="E765" s="6">
        <v>1202500</v>
      </c>
      <c r="F765" s="5">
        <v>1095601</v>
      </c>
      <c r="G765" s="5">
        <v>105399</v>
      </c>
      <c r="H765" s="5">
        <f t="shared" si="245"/>
        <v>1201000</v>
      </c>
      <c r="I765" s="5">
        <f t="shared" si="246"/>
        <v>1500</v>
      </c>
      <c r="J765" s="7">
        <f t="shared" si="247"/>
        <v>0.99875259875259881</v>
      </c>
      <c r="K765" s="6">
        <f t="shared" si="248"/>
        <v>300</v>
      </c>
      <c r="L765" s="19">
        <v>6677.9100000000008</v>
      </c>
    </row>
    <row r="766" spans="2:19" ht="18.5" customHeight="1">
      <c r="B766" s="13">
        <v>695</v>
      </c>
      <c r="C766" s="13" t="s">
        <v>16</v>
      </c>
      <c r="D766" s="14" t="s">
        <v>95</v>
      </c>
      <c r="E766" s="6">
        <v>1117600</v>
      </c>
      <c r="F766" s="5">
        <v>1026068</v>
      </c>
      <c r="G766" s="5">
        <v>88532</v>
      </c>
      <c r="H766" s="5">
        <f t="shared" si="245"/>
        <v>1114600</v>
      </c>
      <c r="I766" s="5">
        <f t="shared" si="246"/>
        <v>3000</v>
      </c>
      <c r="J766" s="7">
        <f t="shared" si="247"/>
        <v>0.99731567644953467</v>
      </c>
      <c r="K766" s="6">
        <f t="shared" si="248"/>
        <v>600</v>
      </c>
      <c r="L766" s="19">
        <v>0</v>
      </c>
    </row>
    <row r="767" spans="2:19" ht="18.5" customHeight="1">
      <c r="B767" s="13">
        <v>695</v>
      </c>
      <c r="C767" s="13" t="s">
        <v>17</v>
      </c>
      <c r="D767" s="14" t="s">
        <v>95</v>
      </c>
      <c r="E767" s="6">
        <v>1406200</v>
      </c>
      <c r="F767" s="5">
        <v>1324403</v>
      </c>
      <c r="G767" s="5">
        <v>76497</v>
      </c>
      <c r="H767" s="5">
        <f t="shared" si="245"/>
        <v>1400900</v>
      </c>
      <c r="I767" s="5">
        <f t="shared" si="246"/>
        <v>5300</v>
      </c>
      <c r="J767" s="7">
        <f t="shared" si="247"/>
        <v>0.99623097710140807</v>
      </c>
      <c r="K767" s="6">
        <f t="shared" si="248"/>
        <v>1060</v>
      </c>
      <c r="L767" s="19">
        <v>26680</v>
      </c>
    </row>
    <row r="768" spans="2:19" ht="18.5" customHeight="1">
      <c r="B768" s="13">
        <v>695</v>
      </c>
      <c r="C768" s="13" t="s">
        <v>18</v>
      </c>
      <c r="D768" s="14" t="s">
        <v>95</v>
      </c>
      <c r="E768" s="6">
        <v>1058600</v>
      </c>
      <c r="F768" s="5">
        <v>979153</v>
      </c>
      <c r="G768" s="5">
        <v>75847</v>
      </c>
      <c r="H768" s="5">
        <f t="shared" si="245"/>
        <v>1055000</v>
      </c>
      <c r="I768" s="5">
        <f t="shared" si="246"/>
        <v>3600</v>
      </c>
      <c r="J768" s="7">
        <f t="shared" si="247"/>
        <v>0.9965992820706594</v>
      </c>
      <c r="K768" s="6">
        <f t="shared" si="248"/>
        <v>720</v>
      </c>
      <c r="L768" s="19">
        <v>9720</v>
      </c>
    </row>
    <row r="769" spans="2:19" ht="18.5" customHeight="1">
      <c r="B769" s="13">
        <v>695</v>
      </c>
      <c r="C769" s="13" t="s">
        <v>19</v>
      </c>
      <c r="D769" s="14" t="s">
        <v>95</v>
      </c>
      <c r="E769" s="11">
        <v>1082200</v>
      </c>
      <c r="F769" s="8">
        <v>1004553</v>
      </c>
      <c r="G769" s="8">
        <v>71947</v>
      </c>
      <c r="H769" s="5">
        <f t="shared" si="245"/>
        <v>1076500</v>
      </c>
      <c r="I769" s="5">
        <f t="shared" si="246"/>
        <v>5700</v>
      </c>
      <c r="J769" s="7">
        <f t="shared" si="247"/>
        <v>0.99473295139530582</v>
      </c>
      <c r="K769" s="6">
        <f t="shared" si="248"/>
        <v>1140</v>
      </c>
      <c r="L769" s="4">
        <v>18067</v>
      </c>
      <c r="M769" s="4"/>
    </row>
    <row r="770" spans="2:19" ht="18.5" customHeight="1">
      <c r="B770" s="13">
        <v>695</v>
      </c>
      <c r="C770" s="13" t="s">
        <v>20</v>
      </c>
      <c r="D770" s="14" t="s">
        <v>95</v>
      </c>
      <c r="E770" s="6">
        <v>1114700</v>
      </c>
      <c r="F770" s="5">
        <v>1066353</v>
      </c>
      <c r="G770" s="5">
        <v>43147</v>
      </c>
      <c r="H770" s="5">
        <f t="shared" si="245"/>
        <v>1109500</v>
      </c>
      <c r="I770" s="5">
        <f t="shared" si="246"/>
        <v>5200</v>
      </c>
      <c r="J770" s="7">
        <f t="shared" si="247"/>
        <v>0.99533506773122815</v>
      </c>
      <c r="K770" s="6">
        <f t="shared" si="248"/>
        <v>1040</v>
      </c>
      <c r="L770" s="19">
        <v>7575.2699999999995</v>
      </c>
    </row>
    <row r="771" spans="2:19" ht="18.5" customHeight="1">
      <c r="B771" s="13">
        <v>695</v>
      </c>
      <c r="C771" s="13" t="s">
        <v>21</v>
      </c>
      <c r="D771" s="14" t="s">
        <v>95</v>
      </c>
      <c r="E771" s="5">
        <v>1114700</v>
      </c>
      <c r="F771" s="5">
        <v>1063870</v>
      </c>
      <c r="G771" s="5">
        <v>48630</v>
      </c>
      <c r="H771" s="5">
        <f t="shared" si="245"/>
        <v>1112500</v>
      </c>
      <c r="I771" s="5">
        <f t="shared" si="246"/>
        <v>2200</v>
      </c>
      <c r="J771" s="7">
        <f t="shared" si="247"/>
        <v>0.99802637480936573</v>
      </c>
      <c r="K771" s="6">
        <f t="shared" si="248"/>
        <v>440</v>
      </c>
      <c r="L771" s="19">
        <v>14500.44</v>
      </c>
    </row>
    <row r="772" spans="2:19" s="24" customFormat="1" ht="18.5" customHeight="1">
      <c r="B772" s="27"/>
      <c r="C772" s="27"/>
      <c r="D772" s="28" t="s">
        <v>22</v>
      </c>
      <c r="E772" s="23">
        <f>SUM(E763:E771)/9</f>
        <v>1167388.888888889</v>
      </c>
      <c r="F772" s="23">
        <f>SUM(F763:F771)/9</f>
        <v>1085735.5555555555</v>
      </c>
      <c r="G772" s="23">
        <f>SUM(G763:G771)/9</f>
        <v>78447.222222222219</v>
      </c>
      <c r="H772" s="23">
        <f>SUM(H763:H771)/9</f>
        <v>1164182.7777777778</v>
      </c>
      <c r="I772" s="23">
        <f>SUM(I763:I771)/9</f>
        <v>3206.1111111111113</v>
      </c>
      <c r="J772" s="29">
        <f>SUM(H772/E772)</f>
        <v>0.99725360491124526</v>
      </c>
      <c r="K772" s="23">
        <f>SUM(K763:K771)/9</f>
        <v>641.22222222222217</v>
      </c>
      <c r="L772" s="20">
        <f>SUM(L763:L771)/9</f>
        <v>10811.983333333334</v>
      </c>
      <c r="M772" s="20"/>
    </row>
    <row r="773" spans="2:19" s="24" customFormat="1" ht="18.5" customHeight="1">
      <c r="B773" s="27"/>
      <c r="C773" s="27"/>
      <c r="D773" s="28"/>
      <c r="E773" s="23"/>
      <c r="F773" s="23"/>
      <c r="G773" s="23"/>
      <c r="H773" s="23"/>
      <c r="I773" s="23"/>
      <c r="J773" s="29"/>
      <c r="K773" s="23"/>
      <c r="L773" s="20"/>
      <c r="M773" s="20"/>
    </row>
    <row r="774" spans="2:19" s="25" customFormat="1" ht="47.65" customHeight="1">
      <c r="B774" s="31" t="s">
        <v>1</v>
      </c>
      <c r="C774" s="31" t="s">
        <v>2</v>
      </c>
      <c r="D774" s="38" t="s">
        <v>96</v>
      </c>
      <c r="E774" s="37" t="s">
        <v>4</v>
      </c>
      <c r="F774" s="32" t="s">
        <v>5</v>
      </c>
      <c r="G774" s="32" t="s">
        <v>6</v>
      </c>
      <c r="H774" s="33" t="s">
        <v>7</v>
      </c>
      <c r="I774" s="33" t="s">
        <v>8</v>
      </c>
      <c r="J774" s="34" t="s">
        <v>9</v>
      </c>
      <c r="K774" s="33" t="s">
        <v>10</v>
      </c>
      <c r="L774" s="35" t="s">
        <v>11</v>
      </c>
      <c r="M774" s="36"/>
      <c r="N774" s="39"/>
      <c r="O774" s="40"/>
      <c r="P774" s="41"/>
      <c r="Q774" s="40"/>
      <c r="R774" s="42"/>
      <c r="S774" s="43"/>
    </row>
    <row r="775" spans="2:19" ht="21" customHeight="1">
      <c r="B775" s="14">
        <v>501</v>
      </c>
      <c r="C775" s="13" t="s">
        <v>21</v>
      </c>
      <c r="D775" s="14" t="s">
        <v>97</v>
      </c>
      <c r="E775" s="6">
        <v>48321457.769999996</v>
      </c>
      <c r="F775" s="6">
        <v>42565878.359999999</v>
      </c>
      <c r="G775" s="6">
        <v>725000</v>
      </c>
      <c r="H775" s="5">
        <f t="shared" ref="H775:H814" si="249">SUM(F775+G775)</f>
        <v>43290878.359999999</v>
      </c>
      <c r="I775" s="5">
        <f t="shared" ref="I775:I814" si="250">SUM(E775-H775)</f>
        <v>5030579.4099999964</v>
      </c>
      <c r="J775" s="7">
        <f t="shared" ref="J775:J814" si="251">SUM(H775/E775)</f>
        <v>0.89589346757822375</v>
      </c>
      <c r="K775" s="6">
        <f t="shared" ref="K775:K814" si="252">SUM(I775*0.2)</f>
        <v>1006115.8819999993</v>
      </c>
      <c r="L775" s="19">
        <v>74324</v>
      </c>
    </row>
    <row r="776" spans="2:19" ht="21" customHeight="1">
      <c r="B776" s="14">
        <v>502</v>
      </c>
      <c r="C776" s="13" t="s">
        <v>21</v>
      </c>
      <c r="D776" s="14" t="s">
        <v>98</v>
      </c>
      <c r="E776" s="6">
        <v>341133462</v>
      </c>
      <c r="F776" s="6">
        <v>300970346</v>
      </c>
      <c r="G776" s="6">
        <v>1922175</v>
      </c>
      <c r="H776" s="5">
        <f t="shared" si="249"/>
        <v>302892521</v>
      </c>
      <c r="I776" s="5">
        <f t="shared" si="250"/>
        <v>38240941</v>
      </c>
      <c r="J776" s="7">
        <f t="shared" si="251"/>
        <v>0.88790035203289441</v>
      </c>
      <c r="K776" s="6">
        <f t="shared" si="252"/>
        <v>7648188.2000000002</v>
      </c>
      <c r="L776" s="19">
        <v>178770.02</v>
      </c>
    </row>
    <row r="777" spans="2:19" ht="21" customHeight="1">
      <c r="B777" s="14">
        <v>503</v>
      </c>
      <c r="C777" s="13" t="s">
        <v>21</v>
      </c>
      <c r="D777" s="14" t="s">
        <v>99</v>
      </c>
      <c r="E777" s="6">
        <v>70730032</v>
      </c>
      <c r="F777" s="6">
        <v>58130019</v>
      </c>
      <c r="G777" s="6">
        <v>7602076</v>
      </c>
      <c r="H777" s="5">
        <f t="shared" si="249"/>
        <v>65732095</v>
      </c>
      <c r="I777" s="5">
        <f t="shared" si="250"/>
        <v>4997937</v>
      </c>
      <c r="J777" s="7">
        <f t="shared" si="251"/>
        <v>0.92933783770944711</v>
      </c>
      <c r="K777" s="6">
        <f t="shared" si="252"/>
        <v>999587.4</v>
      </c>
      <c r="L777" s="19">
        <v>36633</v>
      </c>
    </row>
    <row r="778" spans="2:19" ht="21" customHeight="1">
      <c r="B778" s="14">
        <v>504</v>
      </c>
      <c r="C778" s="13" t="s">
        <v>21</v>
      </c>
      <c r="D778" s="14" t="s">
        <v>100</v>
      </c>
      <c r="E778" s="6">
        <v>112502881.67</v>
      </c>
      <c r="F778" s="6">
        <v>89412801.920000002</v>
      </c>
      <c r="G778" s="6">
        <v>50463</v>
      </c>
      <c r="H778" s="5">
        <f t="shared" si="249"/>
        <v>89463264.920000002</v>
      </c>
      <c r="I778" s="5">
        <f t="shared" si="250"/>
        <v>23039616.75</v>
      </c>
      <c r="J778" s="7">
        <f t="shared" si="251"/>
        <v>0.7952086523651799</v>
      </c>
      <c r="K778" s="6">
        <f t="shared" si="252"/>
        <v>4607923.3500000006</v>
      </c>
      <c r="L778" s="19">
        <v>285080.62</v>
      </c>
    </row>
    <row r="779" spans="2:19" ht="21" customHeight="1">
      <c r="B779" s="14">
        <v>505</v>
      </c>
      <c r="C779" s="13" t="s">
        <v>21</v>
      </c>
      <c r="D779" s="14" t="s">
        <v>101</v>
      </c>
      <c r="E779" s="6">
        <v>104550924.64000003</v>
      </c>
      <c r="F779" s="6">
        <v>86423079.38000001</v>
      </c>
      <c r="G779" s="6">
        <v>12036806.48</v>
      </c>
      <c r="H779" s="5">
        <f t="shared" si="249"/>
        <v>98459885.860000014</v>
      </c>
      <c r="I779" s="5">
        <f t="shared" si="250"/>
        <v>6091038.7800000161</v>
      </c>
      <c r="J779" s="7">
        <f t="shared" si="251"/>
        <v>0.94174093819855464</v>
      </c>
      <c r="K779" s="6">
        <f t="shared" si="252"/>
        <v>1218207.7560000033</v>
      </c>
      <c r="L779" s="19">
        <v>211616.97</v>
      </c>
    </row>
    <row r="780" spans="2:19" ht="21" customHeight="1">
      <c r="B780" s="14">
        <v>506</v>
      </c>
      <c r="C780" s="13" t="s">
        <v>21</v>
      </c>
      <c r="D780" s="14" t="s">
        <v>102</v>
      </c>
      <c r="E780" s="6">
        <v>29326152</v>
      </c>
      <c r="F780" s="6">
        <v>24185076</v>
      </c>
      <c r="G780" s="6">
        <v>285750</v>
      </c>
      <c r="H780" s="5">
        <f t="shared" si="249"/>
        <v>24470826</v>
      </c>
      <c r="I780" s="5">
        <f t="shared" si="250"/>
        <v>4855326</v>
      </c>
      <c r="J780" s="7">
        <f t="shared" si="251"/>
        <v>0.83443698989216175</v>
      </c>
      <c r="K780" s="6">
        <f t="shared" si="252"/>
        <v>971065.20000000007</v>
      </c>
      <c r="L780" s="19">
        <v>412351.32</v>
      </c>
    </row>
    <row r="781" spans="2:19" ht="21" customHeight="1">
      <c r="B781" s="14">
        <v>507</v>
      </c>
      <c r="C781" s="13" t="s">
        <v>21</v>
      </c>
      <c r="D781" s="14" t="s">
        <v>103</v>
      </c>
      <c r="E781" s="6">
        <v>27518372</v>
      </c>
      <c r="F781" s="6">
        <v>21565547</v>
      </c>
      <c r="G781" s="6">
        <v>0</v>
      </c>
      <c r="H781" s="5">
        <f t="shared" si="249"/>
        <v>21565547</v>
      </c>
      <c r="I781" s="5">
        <f t="shared" si="250"/>
        <v>5952825</v>
      </c>
      <c r="J781" s="7">
        <f t="shared" si="251"/>
        <v>0.783678155088535</v>
      </c>
      <c r="K781" s="6">
        <f t="shared" si="252"/>
        <v>1190565</v>
      </c>
      <c r="L781" s="19">
        <v>1925</v>
      </c>
    </row>
    <row r="782" spans="2:19" ht="21" customHeight="1">
      <c r="B782" s="14">
        <v>508</v>
      </c>
      <c r="C782" s="13" t="s">
        <v>21</v>
      </c>
      <c r="D782" s="14" t="s">
        <v>104</v>
      </c>
      <c r="E782" s="6">
        <v>441000891</v>
      </c>
      <c r="F782" s="6">
        <v>408968097</v>
      </c>
      <c r="G782" s="6">
        <v>3558592</v>
      </c>
      <c r="H782" s="5">
        <f t="shared" si="249"/>
        <v>412526689</v>
      </c>
      <c r="I782" s="5">
        <f t="shared" si="250"/>
        <v>28474202</v>
      </c>
      <c r="J782" s="7">
        <f t="shared" si="251"/>
        <v>0.93543277897821753</v>
      </c>
      <c r="K782" s="6">
        <f t="shared" si="252"/>
        <v>5694840.4000000004</v>
      </c>
      <c r="L782" s="19">
        <v>10452643.469999999</v>
      </c>
    </row>
    <row r="783" spans="2:19" ht="21" customHeight="1">
      <c r="B783" s="14">
        <v>509</v>
      </c>
      <c r="C783" s="13" t="s">
        <v>21</v>
      </c>
      <c r="D783" s="14" t="s">
        <v>105</v>
      </c>
      <c r="E783" s="6">
        <v>147893345.31999996</v>
      </c>
      <c r="F783" s="6">
        <v>122030451.40000001</v>
      </c>
      <c r="G783" s="6">
        <v>5041936.0986000001</v>
      </c>
      <c r="H783" s="5">
        <f t="shared" si="249"/>
        <v>127072387.49860001</v>
      </c>
      <c r="I783" s="5">
        <f t="shared" si="250"/>
        <v>20820957.821399957</v>
      </c>
      <c r="J783" s="7">
        <f t="shared" si="251"/>
        <v>0.85921639830142993</v>
      </c>
      <c r="K783" s="6">
        <f t="shared" si="252"/>
        <v>4164191.5642799917</v>
      </c>
      <c r="L783" s="19">
        <v>29883.02</v>
      </c>
    </row>
    <row r="784" spans="2:19" ht="28.8" customHeight="1">
      <c r="B784" s="14">
        <v>510</v>
      </c>
      <c r="C784" s="13" t="s">
        <v>21</v>
      </c>
      <c r="D784" s="14" t="s">
        <v>106</v>
      </c>
      <c r="E784" s="6">
        <v>31056755</v>
      </c>
      <c r="F784" s="6">
        <v>27767928</v>
      </c>
      <c r="G784" s="6">
        <v>0</v>
      </c>
      <c r="H784" s="5">
        <f t="shared" si="249"/>
        <v>27767928</v>
      </c>
      <c r="I784" s="5">
        <f t="shared" si="250"/>
        <v>3288827</v>
      </c>
      <c r="J784" s="7">
        <f t="shared" si="251"/>
        <v>0.89410268394106207</v>
      </c>
      <c r="K784" s="6">
        <f t="shared" si="252"/>
        <v>657765.4</v>
      </c>
      <c r="L784" s="19">
        <v>30682.02</v>
      </c>
    </row>
    <row r="785" spans="2:19" s="25" customFormat="1" ht="47.65" customHeight="1">
      <c r="B785" s="31" t="s">
        <v>1</v>
      </c>
      <c r="C785" s="31" t="s">
        <v>2</v>
      </c>
      <c r="D785" s="38" t="s">
        <v>96</v>
      </c>
      <c r="E785" s="37" t="s">
        <v>4</v>
      </c>
      <c r="F785" s="32" t="s">
        <v>5</v>
      </c>
      <c r="G785" s="32" t="s">
        <v>6</v>
      </c>
      <c r="H785" s="33" t="s">
        <v>7</v>
      </c>
      <c r="I785" s="33" t="s">
        <v>8</v>
      </c>
      <c r="J785" s="34" t="s">
        <v>9</v>
      </c>
      <c r="K785" s="33" t="s">
        <v>10</v>
      </c>
      <c r="L785" s="35" t="s">
        <v>11</v>
      </c>
      <c r="M785" s="36"/>
      <c r="N785" s="39"/>
      <c r="O785" s="40"/>
      <c r="P785" s="41"/>
      <c r="Q785" s="40"/>
      <c r="R785" s="42"/>
      <c r="S785" s="43"/>
    </row>
    <row r="786" spans="2:19" ht="18.95" customHeight="1">
      <c r="B786" s="14">
        <v>511</v>
      </c>
      <c r="C786" s="13" t="s">
        <v>21</v>
      </c>
      <c r="D786" s="14" t="s">
        <v>107</v>
      </c>
      <c r="E786" s="6">
        <v>117142338.58</v>
      </c>
      <c r="F786" s="6">
        <v>94912785.890000001</v>
      </c>
      <c r="G786" s="6">
        <v>1002840</v>
      </c>
      <c r="H786" s="5">
        <f t="shared" si="249"/>
        <v>95915625.890000001</v>
      </c>
      <c r="I786" s="5">
        <f t="shared" si="250"/>
        <v>21226712.689999998</v>
      </c>
      <c r="J786" s="7">
        <f t="shared" si="251"/>
        <v>0.81879555293747497</v>
      </c>
      <c r="K786" s="6">
        <f t="shared" si="252"/>
        <v>4245342.5379999997</v>
      </c>
      <c r="L786" s="19">
        <v>691460.64</v>
      </c>
    </row>
    <row r="787" spans="2:19" ht="18.95" customHeight="1">
      <c r="B787" s="14">
        <v>512</v>
      </c>
      <c r="C787" s="13" t="s">
        <v>21</v>
      </c>
      <c r="D787" s="14" t="s">
        <v>108</v>
      </c>
      <c r="E787" s="6">
        <v>275312781</v>
      </c>
      <c r="F787" s="6">
        <v>196331245</v>
      </c>
      <c r="G787" s="6">
        <v>4208442</v>
      </c>
      <c r="H787" s="5">
        <f t="shared" si="249"/>
        <v>200539687</v>
      </c>
      <c r="I787" s="5">
        <f t="shared" si="250"/>
        <v>74773094</v>
      </c>
      <c r="J787" s="7">
        <f t="shared" si="251"/>
        <v>0.72840674621640611</v>
      </c>
      <c r="K787" s="6">
        <f t="shared" si="252"/>
        <v>14954618.800000001</v>
      </c>
      <c r="L787" s="19">
        <v>629643.68733660143</v>
      </c>
    </row>
    <row r="788" spans="2:19" ht="18.95" customHeight="1">
      <c r="B788" s="14">
        <v>513</v>
      </c>
      <c r="C788" s="13" t="s">
        <v>21</v>
      </c>
      <c r="D788" s="14" t="s">
        <v>109</v>
      </c>
      <c r="E788" s="6">
        <v>27313608</v>
      </c>
      <c r="F788" s="6">
        <v>21906487</v>
      </c>
      <c r="G788" s="6">
        <v>1075064</v>
      </c>
      <c r="H788" s="5">
        <f t="shared" si="249"/>
        <v>22981551</v>
      </c>
      <c r="I788" s="5">
        <f t="shared" si="250"/>
        <v>4332057</v>
      </c>
      <c r="J788" s="7">
        <f t="shared" si="251"/>
        <v>0.84139565157411644</v>
      </c>
      <c r="K788" s="6">
        <f t="shared" si="252"/>
        <v>866411.4</v>
      </c>
      <c r="L788" s="19">
        <v>0</v>
      </c>
    </row>
    <row r="789" spans="2:19" ht="18.95" customHeight="1">
      <c r="B789" s="14">
        <v>514</v>
      </c>
      <c r="C789" s="13" t="s">
        <v>21</v>
      </c>
      <c r="D789" s="14" t="s">
        <v>110</v>
      </c>
      <c r="E789" s="11">
        <v>67843682</v>
      </c>
      <c r="F789" s="11">
        <v>54886739</v>
      </c>
      <c r="G789" s="11">
        <v>2736392</v>
      </c>
      <c r="H789" s="5">
        <f t="shared" si="249"/>
        <v>57623131</v>
      </c>
      <c r="I789" s="5">
        <f t="shared" si="250"/>
        <v>10220551</v>
      </c>
      <c r="J789" s="7">
        <f t="shared" si="251"/>
        <v>0.84935146945591777</v>
      </c>
      <c r="K789" s="6">
        <f t="shared" si="252"/>
        <v>2044110.2000000002</v>
      </c>
      <c r="L789" s="19">
        <v>358405.05</v>
      </c>
    </row>
    <row r="790" spans="2:19" ht="18.95" customHeight="1">
      <c r="B790" s="14">
        <v>515</v>
      </c>
      <c r="C790" s="13" t="s">
        <v>21</v>
      </c>
      <c r="D790" s="14" t="s">
        <v>111</v>
      </c>
      <c r="E790" s="6">
        <v>32299497.285441574</v>
      </c>
      <c r="F790" s="6">
        <v>27841496.285441574</v>
      </c>
      <c r="G790" s="6">
        <v>4402768</v>
      </c>
      <c r="H790" s="5">
        <f t="shared" si="249"/>
        <v>32244264.285441574</v>
      </c>
      <c r="I790" s="5">
        <f t="shared" si="250"/>
        <v>55233</v>
      </c>
      <c r="J790" s="7">
        <f t="shared" si="251"/>
        <v>0.99828997338528558</v>
      </c>
      <c r="K790" s="6">
        <f t="shared" si="252"/>
        <v>11046.6</v>
      </c>
      <c r="L790" s="19">
        <v>216561.36</v>
      </c>
    </row>
    <row r="791" spans="2:19" ht="18.95" customHeight="1">
      <c r="B791" s="14">
        <v>516</v>
      </c>
      <c r="C791" s="13" t="s">
        <v>21</v>
      </c>
      <c r="D791" s="14" t="s">
        <v>112</v>
      </c>
      <c r="E791" s="6">
        <v>124607150.90999998</v>
      </c>
      <c r="F791" s="6">
        <v>81000811.200000003</v>
      </c>
      <c r="G791" s="6">
        <v>4071165</v>
      </c>
      <c r="H791" s="5">
        <f t="shared" si="249"/>
        <v>85071976.200000003</v>
      </c>
      <c r="I791" s="5">
        <f t="shared" si="250"/>
        <v>39535174.709999979</v>
      </c>
      <c r="J791" s="7">
        <f t="shared" si="251"/>
        <v>0.68272146163942826</v>
      </c>
      <c r="K791" s="6">
        <f t="shared" si="252"/>
        <v>7907034.9419999961</v>
      </c>
      <c r="L791" s="19">
        <v>380139.55000000005</v>
      </c>
    </row>
    <row r="792" spans="2:19" ht="18.95" customHeight="1">
      <c r="B792" s="14">
        <v>517</v>
      </c>
      <c r="C792" s="13" t="s">
        <v>21</v>
      </c>
      <c r="D792" s="14" t="s">
        <v>113</v>
      </c>
      <c r="E792" s="6">
        <v>67123550.230000004</v>
      </c>
      <c r="F792" s="6">
        <v>52004463.959999993</v>
      </c>
      <c r="G792" s="6">
        <v>0</v>
      </c>
      <c r="H792" s="5">
        <f t="shared" si="249"/>
        <v>52004463.959999993</v>
      </c>
      <c r="I792" s="5">
        <f t="shared" si="250"/>
        <v>15119086.270000011</v>
      </c>
      <c r="J792" s="7">
        <f t="shared" si="251"/>
        <v>0.77475735091194964</v>
      </c>
      <c r="K792" s="6">
        <f t="shared" si="252"/>
        <v>3023817.2540000025</v>
      </c>
      <c r="L792" s="19">
        <v>294308</v>
      </c>
    </row>
    <row r="793" spans="2:19" ht="18.95" customHeight="1">
      <c r="B793" s="14">
        <v>518</v>
      </c>
      <c r="C793" s="13" t="s">
        <v>21</v>
      </c>
      <c r="D793" s="14" t="s">
        <v>114</v>
      </c>
      <c r="E793" s="6">
        <v>16826829.059999999</v>
      </c>
      <c r="F793" s="6">
        <v>12377869.42</v>
      </c>
      <c r="G793" s="6">
        <v>4423959.6399999997</v>
      </c>
      <c r="H793" s="5">
        <f t="shared" si="249"/>
        <v>16801829.059999999</v>
      </c>
      <c r="I793" s="5">
        <f t="shared" si="250"/>
        <v>25000</v>
      </c>
      <c r="J793" s="7">
        <f t="shared" si="251"/>
        <v>0.9985142774131206</v>
      </c>
      <c r="K793" s="6">
        <f t="shared" si="252"/>
        <v>5000</v>
      </c>
      <c r="L793" s="19">
        <v>125959</v>
      </c>
    </row>
    <row r="794" spans="2:19" ht="18.95" customHeight="1">
      <c r="B794" s="14">
        <v>519</v>
      </c>
      <c r="C794" s="13" t="s">
        <v>21</v>
      </c>
      <c r="D794" s="14" t="s">
        <v>115</v>
      </c>
      <c r="E794" s="6">
        <v>32446651</v>
      </c>
      <c r="F794" s="6">
        <v>24680498</v>
      </c>
      <c r="G794" s="6">
        <v>693465</v>
      </c>
      <c r="H794" s="5">
        <f t="shared" si="249"/>
        <v>25373963</v>
      </c>
      <c r="I794" s="5">
        <f t="shared" si="250"/>
        <v>7072688</v>
      </c>
      <c r="J794" s="7">
        <f t="shared" si="251"/>
        <v>0.78202101659120382</v>
      </c>
      <c r="K794" s="6">
        <f t="shared" si="252"/>
        <v>1414537.6</v>
      </c>
      <c r="L794" s="19">
        <v>212900</v>
      </c>
    </row>
    <row r="795" spans="2:19" ht="18.95" customHeight="1">
      <c r="B795" s="14">
        <v>520</v>
      </c>
      <c r="C795" s="13" t="s">
        <v>21</v>
      </c>
      <c r="D795" s="14" t="s">
        <v>116</v>
      </c>
      <c r="E795" s="6">
        <v>45680550</v>
      </c>
      <c r="F795" s="6">
        <v>35537525</v>
      </c>
      <c r="G795" s="6">
        <v>0</v>
      </c>
      <c r="H795" s="5">
        <f t="shared" si="249"/>
        <v>35537525</v>
      </c>
      <c r="I795" s="5">
        <f t="shared" si="250"/>
        <v>10143025</v>
      </c>
      <c r="J795" s="7">
        <f t="shared" si="251"/>
        <v>0.77795746767497331</v>
      </c>
      <c r="K795" s="6">
        <f t="shared" si="252"/>
        <v>2028605</v>
      </c>
      <c r="L795" s="19">
        <v>31968.89</v>
      </c>
    </row>
    <row r="796" spans="2:19" ht="18.95" customHeight="1">
      <c r="B796" s="14">
        <v>521</v>
      </c>
      <c r="C796" s="13" t="s">
        <v>21</v>
      </c>
      <c r="D796" s="14" t="s">
        <v>117</v>
      </c>
      <c r="E796" s="6">
        <v>22981715</v>
      </c>
      <c r="F796" s="6">
        <v>22447738</v>
      </c>
      <c r="G796" s="6">
        <v>516577</v>
      </c>
      <c r="H796" s="5">
        <f t="shared" si="249"/>
        <v>22964315</v>
      </c>
      <c r="I796" s="5">
        <f t="shared" si="250"/>
        <v>17400</v>
      </c>
      <c r="J796" s="7">
        <f t="shared" si="251"/>
        <v>0.99924287634756592</v>
      </c>
      <c r="K796" s="6">
        <f t="shared" si="252"/>
        <v>3480</v>
      </c>
      <c r="L796" s="19">
        <v>2625.2</v>
      </c>
    </row>
    <row r="797" spans="2:19" ht="18.95" customHeight="1">
      <c r="B797" s="14">
        <v>522</v>
      </c>
      <c r="C797" s="13" t="s">
        <v>21</v>
      </c>
      <c r="D797" s="14" t="s">
        <v>118</v>
      </c>
      <c r="E797" s="6">
        <v>109722041.40000001</v>
      </c>
      <c r="F797" s="6">
        <v>88064458.400000006</v>
      </c>
      <c r="G797" s="6">
        <v>7529767</v>
      </c>
      <c r="H797" s="5">
        <f t="shared" si="249"/>
        <v>95594225.400000006</v>
      </c>
      <c r="I797" s="5">
        <f t="shared" si="250"/>
        <v>14127816</v>
      </c>
      <c r="J797" s="7">
        <f t="shared" si="251"/>
        <v>0.87123994577811414</v>
      </c>
      <c r="K797" s="6">
        <f t="shared" si="252"/>
        <v>2825563.2</v>
      </c>
      <c r="L797" s="19">
        <v>387677.66</v>
      </c>
    </row>
    <row r="798" spans="2:19" ht="18.95" customHeight="1">
      <c r="B798" s="14">
        <v>523</v>
      </c>
      <c r="C798" s="13" t="s">
        <v>21</v>
      </c>
      <c r="D798" s="14" t="s">
        <v>119</v>
      </c>
      <c r="E798" s="6">
        <v>39997000.219999999</v>
      </c>
      <c r="F798" s="52">
        <v>32146596.689999994</v>
      </c>
      <c r="G798" s="6">
        <v>0</v>
      </c>
      <c r="H798" s="5">
        <f t="shared" si="249"/>
        <v>32146596.689999994</v>
      </c>
      <c r="I798" s="5">
        <f t="shared" si="250"/>
        <v>7850403.5300000049</v>
      </c>
      <c r="J798" s="7">
        <f t="shared" si="251"/>
        <v>0.80372519221892769</v>
      </c>
      <c r="K798" s="6">
        <f t="shared" si="252"/>
        <v>1570080.7060000012</v>
      </c>
      <c r="L798" s="19">
        <v>0</v>
      </c>
    </row>
    <row r="799" spans="2:19" ht="18.95" customHeight="1">
      <c r="B799" s="14">
        <v>524</v>
      </c>
      <c r="C799" s="13" t="s">
        <v>21</v>
      </c>
      <c r="D799" s="14" t="s">
        <v>120</v>
      </c>
      <c r="E799" s="6">
        <v>150329342</v>
      </c>
      <c r="F799" s="6">
        <v>131015212</v>
      </c>
      <c r="G799" s="6">
        <v>3728782</v>
      </c>
      <c r="H799" s="5">
        <f t="shared" si="249"/>
        <v>134743994</v>
      </c>
      <c r="I799" s="5">
        <f t="shared" si="250"/>
        <v>15585348</v>
      </c>
      <c r="J799" s="7">
        <f t="shared" si="251"/>
        <v>0.89632530953271916</v>
      </c>
      <c r="K799" s="6">
        <f t="shared" si="252"/>
        <v>3117069.6</v>
      </c>
      <c r="L799" s="19">
        <v>1359720.28</v>
      </c>
    </row>
    <row r="800" spans="2:19" ht="18.95" customHeight="1">
      <c r="B800" s="14">
        <v>525</v>
      </c>
      <c r="C800" s="13" t="s">
        <v>21</v>
      </c>
      <c r="D800" s="14" t="s">
        <v>121</v>
      </c>
      <c r="E800" s="6">
        <v>218747408</v>
      </c>
      <c r="F800" s="6">
        <v>162378626</v>
      </c>
      <c r="G800" s="6">
        <v>547740</v>
      </c>
      <c r="H800" s="5">
        <f t="shared" si="249"/>
        <v>162926366</v>
      </c>
      <c r="I800" s="5">
        <f t="shared" si="250"/>
        <v>55821042</v>
      </c>
      <c r="J800" s="7">
        <f t="shared" si="251"/>
        <v>0.74481506999159508</v>
      </c>
      <c r="K800" s="6">
        <f t="shared" si="252"/>
        <v>11164208.4</v>
      </c>
      <c r="L800" s="19">
        <v>836324.97</v>
      </c>
    </row>
    <row r="801" spans="2:12" ht="18.95" customHeight="1">
      <c r="B801" s="14">
        <v>526</v>
      </c>
      <c r="C801" s="13" t="s">
        <v>21</v>
      </c>
      <c r="D801" s="14" t="s">
        <v>122</v>
      </c>
      <c r="E801" s="6">
        <v>100494637.34</v>
      </c>
      <c r="F801" s="6">
        <v>68237696.510000005</v>
      </c>
      <c r="G801" s="6">
        <v>31467263.834000003</v>
      </c>
      <c r="H801" s="5">
        <f t="shared" si="249"/>
        <v>99704960.344000012</v>
      </c>
      <c r="I801" s="5">
        <f t="shared" si="250"/>
        <v>789676.99599999189</v>
      </c>
      <c r="J801" s="7">
        <f t="shared" si="251"/>
        <v>0.99214209815665777</v>
      </c>
      <c r="K801" s="6">
        <f t="shared" si="252"/>
        <v>157935.39919999838</v>
      </c>
      <c r="L801" s="19">
        <v>57121.009999999995</v>
      </c>
    </row>
    <row r="802" spans="2:12" ht="18.95" customHeight="1">
      <c r="B802" s="14">
        <v>527</v>
      </c>
      <c r="C802" s="13" t="s">
        <v>21</v>
      </c>
      <c r="D802" s="14" t="s">
        <v>123</v>
      </c>
      <c r="E802" s="6">
        <v>62369750</v>
      </c>
      <c r="F802" s="6">
        <v>47000516</v>
      </c>
      <c r="G802" s="6">
        <v>7177203</v>
      </c>
      <c r="H802" s="5">
        <f t="shared" si="249"/>
        <v>54177719</v>
      </c>
      <c r="I802" s="5">
        <f t="shared" si="250"/>
        <v>8192031</v>
      </c>
      <c r="J802" s="7">
        <f t="shared" si="251"/>
        <v>0.86865377847434055</v>
      </c>
      <c r="K802" s="6">
        <f t="shared" si="252"/>
        <v>1638406.2000000002</v>
      </c>
      <c r="L802" s="19">
        <v>1018486.6299999999</v>
      </c>
    </row>
    <row r="803" spans="2:12" ht="18.95" customHeight="1">
      <c r="B803" s="14">
        <v>528</v>
      </c>
      <c r="C803" s="13" t="s">
        <v>21</v>
      </c>
      <c r="D803" s="14" t="s">
        <v>124</v>
      </c>
      <c r="E803" s="6">
        <v>49460393</v>
      </c>
      <c r="F803" s="6">
        <v>38683710</v>
      </c>
      <c r="G803" s="11">
        <v>0</v>
      </c>
      <c r="H803" s="5">
        <f t="shared" si="249"/>
        <v>38683710</v>
      </c>
      <c r="I803" s="5">
        <f t="shared" si="250"/>
        <v>10776683</v>
      </c>
      <c r="J803" s="7">
        <f t="shared" si="251"/>
        <v>0.78211489342593776</v>
      </c>
      <c r="K803" s="6">
        <f t="shared" si="252"/>
        <v>2155336.6</v>
      </c>
      <c r="L803" s="19">
        <v>860540.23</v>
      </c>
    </row>
    <row r="804" spans="2:12" ht="18.95" customHeight="1">
      <c r="B804" s="14">
        <v>529</v>
      </c>
      <c r="C804" s="13" t="s">
        <v>21</v>
      </c>
      <c r="D804" s="14" t="s">
        <v>125</v>
      </c>
      <c r="E804" s="6">
        <v>62476902</v>
      </c>
      <c r="F804" s="6">
        <v>37456892</v>
      </c>
      <c r="G804" s="6">
        <v>682356</v>
      </c>
      <c r="H804" s="5">
        <f t="shared" si="249"/>
        <v>38139248</v>
      </c>
      <c r="I804" s="5">
        <f t="shared" si="250"/>
        <v>24337654</v>
      </c>
      <c r="J804" s="7">
        <f t="shared" si="251"/>
        <v>0.61045357210573592</v>
      </c>
      <c r="K804" s="6">
        <f t="shared" si="252"/>
        <v>4867530.8</v>
      </c>
      <c r="L804" s="19">
        <v>210754.24</v>
      </c>
    </row>
    <row r="805" spans="2:12" ht="18.95" customHeight="1">
      <c r="B805" s="14">
        <v>530</v>
      </c>
      <c r="C805" s="13" t="s">
        <v>21</v>
      </c>
      <c r="D805" s="14" t="s">
        <v>126</v>
      </c>
      <c r="E805" s="6">
        <v>59464687</v>
      </c>
      <c r="F805" s="6">
        <v>47891731</v>
      </c>
      <c r="G805" s="6">
        <v>6905154</v>
      </c>
      <c r="H805" s="5">
        <f t="shared" si="249"/>
        <v>54796885</v>
      </c>
      <c r="I805" s="5">
        <f t="shared" si="250"/>
        <v>4667802</v>
      </c>
      <c r="J805" s="7">
        <f t="shared" si="251"/>
        <v>0.92150295855420883</v>
      </c>
      <c r="K805" s="6">
        <f t="shared" si="252"/>
        <v>933560.4</v>
      </c>
      <c r="L805" s="19">
        <v>150878.57999999999</v>
      </c>
    </row>
    <row r="806" spans="2:12" ht="18.95" customHeight="1">
      <c r="B806" s="14">
        <v>531</v>
      </c>
      <c r="C806" s="13" t="s">
        <v>21</v>
      </c>
      <c r="D806" s="14" t="s">
        <v>127</v>
      </c>
      <c r="E806" s="6">
        <v>23499353</v>
      </c>
      <c r="F806" s="6">
        <v>18385562</v>
      </c>
      <c r="G806" s="6">
        <v>427079</v>
      </c>
      <c r="H806" s="5">
        <f t="shared" si="249"/>
        <v>18812641</v>
      </c>
      <c r="I806" s="5">
        <f t="shared" si="250"/>
        <v>4686712</v>
      </c>
      <c r="J806" s="7">
        <f t="shared" si="251"/>
        <v>0.80055995584218853</v>
      </c>
      <c r="K806" s="6">
        <f t="shared" si="252"/>
        <v>937342.4</v>
      </c>
      <c r="L806" s="19">
        <v>1189.69</v>
      </c>
    </row>
    <row r="807" spans="2:12" ht="18.95" customHeight="1">
      <c r="B807" s="14">
        <v>532</v>
      </c>
      <c r="C807" s="13" t="s">
        <v>21</v>
      </c>
      <c r="D807" s="14" t="s">
        <v>128</v>
      </c>
      <c r="E807" s="6">
        <v>164244303.30999997</v>
      </c>
      <c r="F807" s="6">
        <v>139428896.5</v>
      </c>
      <c r="G807" s="6">
        <v>1424045</v>
      </c>
      <c r="H807" s="5">
        <f t="shared" si="249"/>
        <v>140852941.5</v>
      </c>
      <c r="I807" s="5">
        <f t="shared" si="250"/>
        <v>23391361.809999973</v>
      </c>
      <c r="J807" s="7">
        <f t="shared" si="251"/>
        <v>0.85758189880199154</v>
      </c>
      <c r="K807" s="6">
        <f t="shared" si="252"/>
        <v>4678272.3619999951</v>
      </c>
      <c r="L807" s="19">
        <v>1298879.5</v>
      </c>
    </row>
    <row r="808" spans="2:12" ht="18.95" customHeight="1">
      <c r="B808" s="14">
        <v>533</v>
      </c>
      <c r="C808" s="13" t="s">
        <v>21</v>
      </c>
      <c r="D808" s="14" t="s">
        <v>129</v>
      </c>
      <c r="E808" s="6">
        <v>19984603</v>
      </c>
      <c r="F808" s="6">
        <v>15439663</v>
      </c>
      <c r="G808" s="6">
        <v>3944916</v>
      </c>
      <c r="H808" s="5">
        <f t="shared" si="249"/>
        <v>19384579</v>
      </c>
      <c r="I808" s="5">
        <f t="shared" si="250"/>
        <v>600024</v>
      </c>
      <c r="J808" s="7">
        <f t="shared" si="251"/>
        <v>0.96997568578169902</v>
      </c>
      <c r="K808" s="6">
        <f t="shared" si="252"/>
        <v>120004.8</v>
      </c>
      <c r="L808" s="19">
        <v>0</v>
      </c>
    </row>
    <row r="809" spans="2:12" ht="18.95" customHeight="1">
      <c r="B809" s="14">
        <v>534</v>
      </c>
      <c r="C809" s="13" t="s">
        <v>21</v>
      </c>
      <c r="D809" s="14" t="s">
        <v>130</v>
      </c>
      <c r="E809" s="6">
        <v>18581127</v>
      </c>
      <c r="F809" s="6">
        <v>16358252</v>
      </c>
      <c r="G809" s="11">
        <v>0</v>
      </c>
      <c r="H809" s="5">
        <f t="shared" si="249"/>
        <v>16358252</v>
      </c>
      <c r="I809" s="5">
        <f t="shared" si="250"/>
        <v>2222875</v>
      </c>
      <c r="J809" s="7">
        <f t="shared" si="251"/>
        <v>0.88036920473123081</v>
      </c>
      <c r="K809" s="6">
        <f t="shared" si="252"/>
        <v>444575</v>
      </c>
      <c r="L809" s="19">
        <v>0</v>
      </c>
    </row>
    <row r="810" spans="2:12" ht="18.95" customHeight="1">
      <c r="B810" s="14">
        <v>535</v>
      </c>
      <c r="C810" s="13" t="s">
        <v>21</v>
      </c>
      <c r="D810" s="14" t="s">
        <v>131</v>
      </c>
      <c r="E810" s="6">
        <v>104051702</v>
      </c>
      <c r="F810" s="6">
        <v>75603783</v>
      </c>
      <c r="G810" s="11">
        <v>0</v>
      </c>
      <c r="H810" s="5">
        <f t="shared" si="249"/>
        <v>75603783</v>
      </c>
      <c r="I810" s="5">
        <f t="shared" si="250"/>
        <v>28447919</v>
      </c>
      <c r="J810" s="7">
        <f t="shared" si="251"/>
        <v>0.72659823478908592</v>
      </c>
      <c r="K810" s="6">
        <f t="shared" si="252"/>
        <v>5689583.8000000007</v>
      </c>
      <c r="L810" s="19">
        <v>591168.91</v>
      </c>
    </row>
    <row r="811" spans="2:12" ht="18.95" customHeight="1">
      <c r="B811" s="14">
        <v>536</v>
      </c>
      <c r="C811" s="13" t="s">
        <v>21</v>
      </c>
      <c r="D811" s="14" t="s">
        <v>132</v>
      </c>
      <c r="E811" s="6">
        <v>121830671</v>
      </c>
      <c r="F811" s="6">
        <v>57996356</v>
      </c>
      <c r="G811" s="6">
        <v>16580</v>
      </c>
      <c r="H811" s="5">
        <f t="shared" si="249"/>
        <v>58012936</v>
      </c>
      <c r="I811" s="5">
        <f t="shared" si="250"/>
        <v>63817735</v>
      </c>
      <c r="J811" s="7">
        <f t="shared" si="251"/>
        <v>0.47617677489439419</v>
      </c>
      <c r="K811" s="6">
        <f t="shared" si="252"/>
        <v>12763547</v>
      </c>
      <c r="L811" s="19">
        <v>0</v>
      </c>
    </row>
    <row r="812" spans="2:12" ht="18.95" customHeight="1">
      <c r="B812" s="14">
        <v>537</v>
      </c>
      <c r="C812" s="13" t="s">
        <v>21</v>
      </c>
      <c r="D812" s="14" t="s">
        <v>133</v>
      </c>
      <c r="E812" s="6">
        <v>46849815</v>
      </c>
      <c r="F812" s="6">
        <v>27387284</v>
      </c>
      <c r="G812" s="6">
        <v>389401</v>
      </c>
      <c r="H812" s="5">
        <f t="shared" si="249"/>
        <v>27776685</v>
      </c>
      <c r="I812" s="5">
        <f t="shared" si="250"/>
        <v>19073130</v>
      </c>
      <c r="J812" s="7">
        <f t="shared" si="251"/>
        <v>0.59288782677156782</v>
      </c>
      <c r="K812" s="6">
        <f t="shared" si="252"/>
        <v>3814626</v>
      </c>
      <c r="L812" s="19">
        <v>3394076.8</v>
      </c>
    </row>
    <row r="813" spans="2:12" ht="18.95" customHeight="1">
      <c r="B813" s="14">
        <v>539</v>
      </c>
      <c r="C813" s="13" t="s">
        <v>21</v>
      </c>
      <c r="D813" s="14" t="s">
        <v>134</v>
      </c>
      <c r="E813" s="6">
        <v>109840.54999999999</v>
      </c>
      <c r="F813" s="6">
        <v>4269.3500000000004</v>
      </c>
      <c r="G813" s="6">
        <v>0</v>
      </c>
      <c r="H813" s="5">
        <f t="shared" si="249"/>
        <v>4269.3500000000004</v>
      </c>
      <c r="I813" s="5">
        <f t="shared" si="250"/>
        <v>105571.19999999998</v>
      </c>
      <c r="J813" s="7">
        <f t="shared" si="251"/>
        <v>3.8868614550819351E-2</v>
      </c>
      <c r="K813" s="6">
        <f t="shared" si="252"/>
        <v>21114.239999999998</v>
      </c>
      <c r="L813" s="19">
        <v>19478.57</v>
      </c>
    </row>
    <row r="814" spans="2:12" ht="18.95" customHeight="1">
      <c r="B814" s="14">
        <v>540</v>
      </c>
      <c r="C814" s="13" t="s">
        <v>21</v>
      </c>
      <c r="D814" s="14" t="s">
        <v>135</v>
      </c>
      <c r="E814" s="6">
        <v>71434537.936250016</v>
      </c>
      <c r="F814" s="6">
        <v>55478673.00500001</v>
      </c>
      <c r="G814" s="6">
        <v>15932570.691249996</v>
      </c>
      <c r="H814" s="5">
        <f t="shared" si="249"/>
        <v>71411243.696250007</v>
      </c>
      <c r="I814" s="5">
        <f t="shared" si="250"/>
        <v>23294.240000009537</v>
      </c>
      <c r="J814" s="7">
        <f t="shared" si="251"/>
        <v>0.99967390787883592</v>
      </c>
      <c r="K814" s="6">
        <f t="shared" si="252"/>
        <v>4658.8480000019072</v>
      </c>
      <c r="L814" s="19">
        <v>333183.51</v>
      </c>
    </row>
  </sheetData>
  <phoneticPr fontId="1" type="noConversion"/>
  <pageMargins left="0.7" right="0.7" top="0.75" bottom="0.75" header="0.3" footer="0.3"/>
  <pageSetup scale="79" fitToHeight="0" orientation="landscape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Input</vt:lpstr>
      <vt:lpstr>Summary</vt:lpstr>
      <vt:lpstr>RawData1</vt:lpstr>
      <vt:lpstr>Filter_Range</vt:lpstr>
      <vt:lpstr>InputStartCell</vt:lpstr>
      <vt:lpstr>RawData1!Print_Area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Angelica Sun</dc:creator>
  <cp:lastModifiedBy>Angelica Sun</cp:lastModifiedBy>
  <dcterms:created xsi:type="dcterms:W3CDTF">2015-06-05T18:17:20Z</dcterms:created>
  <dcterms:modified xsi:type="dcterms:W3CDTF">2023-04-28T14:24:38Z</dcterms:modified>
</cp:coreProperties>
</file>